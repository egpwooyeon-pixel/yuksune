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대량매매일_목록" sheetId="2" state="visible" r:id="rId2"/>
    <sheet name="코스피_일별" sheetId="3" state="visible" r:id="rId3"/>
    <sheet name="코스닥_일별" sheetId="4" state="visible" r:id="rId4"/>
  </sheets>
  <definedNames>
    <definedName name="_xlnm._FilterDatabase" localSheetId="1" hidden="1">'대량매매일_목록'!$A$3:$G$105</definedName>
    <definedName name="_xlnm._FilterDatabase" localSheetId="2" hidden="1">'코스피_일별'!$A$3:$S$213</definedName>
    <definedName name="_xlnm._FilterDatabase" localSheetId="3" hidden="1">'코스닥_일별'!$A$3:$S$213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;[Red]-#,##0;0"/>
    <numFmt numFmtId="166" formatCode="0.0"/>
  </numFmts>
  <fonts count="7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i val="1"/>
      <color rgb="00595959"/>
      <sz val="9"/>
    </font>
    <font>
      <name val="맑은 고딕"/>
      <b val="1"/>
      <color rgb="00FFFFFF"/>
      <sz val="10"/>
    </font>
    <font>
      <name val="맑은 고딕"/>
      <color rgb="000000FF"/>
      <sz val="10"/>
    </font>
    <font>
      <name val="맑은 고딕"/>
      <sz val="10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9999"/>
        <bgColor rgb="00FF9999"/>
      </patternFill>
    </fill>
    <fill>
      <patternFill patternType="solid">
        <fgColor rgb="0099C2FF"/>
        <bgColor rgb="0099C2FF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4" fillId="5" borderId="0" pivotButton="0" quotePrefix="0" xfId="0"/>
    <xf numFmtId="0" fontId="3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5" fillId="0" borderId="1" pivotButton="0" quotePrefix="0" xfId="0"/>
    <xf numFmtId="164" fontId="5" fillId="0" borderId="1" pivotButton="0" quotePrefix="0" xfId="0"/>
    <xf numFmtId="0" fontId="6" fillId="3" borderId="1" pivotButton="0" quotePrefix="0" xfId="0"/>
    <xf numFmtId="165" fontId="6" fillId="3" borderId="1" pivotButton="0" quotePrefix="0" xfId="0"/>
    <xf numFmtId="166" fontId="5" fillId="0" borderId="1" pivotButton="0" quotePrefix="0" xfId="0"/>
    <xf numFmtId="2" fontId="5" fillId="0" borderId="1" pivotButton="0" quotePrefix="0" xfId="0"/>
    <xf numFmtId="0" fontId="6" fillId="4" borderId="1" pivotButton="0" quotePrefix="0" xfId="0"/>
    <xf numFmtId="165" fontId="6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164" fontId="4" fillId="0" borderId="0" pivotButton="0" quotePrefix="0" xfId="0"/>
    <xf numFmtId="165" fontId="4" fillId="0" borderId="0" pivotButton="0" quotePrefix="0" xfId="0"/>
    <xf numFmtId="165" fontId="5" fillId="0" borderId="0" pivotButton="0" quotePrefix="0" xfId="0"/>
    <xf numFmtId="2" fontId="5" fillId="0" borderId="0" pivotButton="0" quotePrefix="0" xfId="0"/>
    <xf numFmtId="166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2">
    <dxf>
      <font>
        <name val="맑은 고딕"/>
        <b val="1"/>
      </font>
      <fill>
        <patternFill patternType="solid">
          <fgColor rgb="00FF9999"/>
          <bgColor rgb="00FF9999"/>
        </patternFill>
      </fill>
    </dxf>
    <dxf>
      <font>
        <name val="맑은 고딕"/>
        <b val="1"/>
      </font>
      <fill>
        <patternFill patternType="solid">
          <fgColor rgb="0099C2FF"/>
          <bgColor rgb="0099C2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4" customWidth="1" min="4" max="4"/>
    <col width="14" customWidth="1" min="5" max="5"/>
    <col width="16" customWidth="1" min="6" max="6"/>
    <col width="13" customWidth="1" min="7" max="7"/>
    <col width="16" customWidth="1" min="8" max="8"/>
    <col width="13" customWidth="1" min="9" max="9"/>
  </cols>
  <sheetData>
    <row r="1">
      <c r="A1" s="1" t="inlineStr">
        <is>
          <t>코스피·코스닥 외국인/기관 대량 매매일 분석</t>
        </is>
      </c>
    </row>
    <row r="2">
      <c r="A2" s="2" t="inlineStr">
        <is>
          <t>원본: '우연 수급 게시판' 시트(코스피 탭) · 2025-11-24 ~ 2026-10-02 · 210거래일 · 단위 억원</t>
        </is>
      </c>
    </row>
    <row r="3"/>
    <row r="4">
      <c r="A4" s="3" t="inlineStr">
        <is>
          <t>판정 기준</t>
        </is>
      </c>
    </row>
    <row r="5">
      <c r="B5" s="3" t="inlineStr">
        <is>
          <t>임계값 (z점수)</t>
        </is>
      </c>
      <c r="C5" s="4" t="n">
        <v>2</v>
      </c>
      <c r="D5" s="2" t="inlineStr">
        <is>
          <t>← 수정 가능. z = (그날 순매수 − 전체기간 평균) ÷ 표준편차. 2 이상이면 대량매수, −2 이하면 대량매도.</t>
        </is>
      </c>
    </row>
    <row r="6">
      <c r="B6" s="2" t="inlineStr">
        <is>
          <t>평소대비(배) = |그날 순매수| ÷ 전체 기간 |순매수|의 중앙값</t>
        </is>
      </c>
    </row>
    <row r="8">
      <c r="B8" s="5" t="inlineStr">
        <is>
          <t>시장</t>
        </is>
      </c>
      <c r="C8" s="5" t="inlineStr">
        <is>
          <t>주체</t>
        </is>
      </c>
      <c r="D8" s="5" t="inlineStr">
        <is>
          <t>대량매수(일)</t>
        </is>
      </c>
      <c r="E8" s="5" t="inlineStr">
        <is>
          <t>대량매도(일)</t>
        </is>
      </c>
      <c r="F8" s="5" t="inlineStr">
        <is>
          <t>최대 순매수(억)</t>
        </is>
      </c>
      <c r="G8" s="5" t="inlineStr">
        <is>
          <t>최대 매수일</t>
        </is>
      </c>
      <c r="H8" s="5" t="inlineStr">
        <is>
          <t>최대 순매도(억)</t>
        </is>
      </c>
      <c r="I8" s="5" t="inlineStr">
        <is>
          <t>최대 매도일</t>
        </is>
      </c>
    </row>
    <row r="9">
      <c r="B9" s="6" t="inlineStr">
        <is>
          <t>코스피</t>
        </is>
      </c>
      <c r="C9" s="6" t="inlineStr">
        <is>
          <t>외국인</t>
        </is>
      </c>
      <c r="D9" s="6">
        <f>COUNTIF(코스피_일별!$P$4:$P$213,"대량매수")</f>
        <v/>
      </c>
      <c r="E9" s="6">
        <f>COUNTIF(코스피_일별!$P$4:$P$213,"대량매도")</f>
        <v/>
      </c>
      <c r="F9" s="7">
        <f>MAX(코스피_일별!$C$4:$C$213)</f>
        <v/>
      </c>
      <c r="G9" s="8">
        <f>INDEX(코스피_일별!$A$4:$A$213,MATCH(F9,코스피_일별!$C$4:$C$213,0))</f>
        <v/>
      </c>
      <c r="H9" s="7">
        <f>MIN(코스피_일별!$C$4:$C$213)</f>
        <v/>
      </c>
      <c r="I9" s="8">
        <f>INDEX(코스피_일별!$A$4:$A$213,MATCH(H9,코스피_일별!$C$4:$C$213,0))</f>
        <v/>
      </c>
    </row>
    <row r="10">
      <c r="B10" s="6" t="inlineStr">
        <is>
          <t>코스피</t>
        </is>
      </c>
      <c r="C10" s="6" t="inlineStr">
        <is>
          <t>기관계</t>
        </is>
      </c>
      <c r="D10" s="6">
        <f>COUNTIF(코스피_일별!$S$4:$S$213,"대량매수")</f>
        <v/>
      </c>
      <c r="E10" s="6">
        <f>COUNTIF(코스피_일별!$S$4:$S$213,"대량매도")</f>
        <v/>
      </c>
      <c r="F10" s="7">
        <f>MAX(코스피_일별!$D$4:$D$213)</f>
        <v/>
      </c>
      <c r="G10" s="8">
        <f>INDEX(코스피_일별!$A$4:$A$213,MATCH(F10,코스피_일별!$D$4:$D$213,0))</f>
        <v/>
      </c>
      <c r="H10" s="7">
        <f>MIN(코스피_일별!$D$4:$D$213)</f>
        <v/>
      </c>
      <c r="I10" s="8">
        <f>INDEX(코스피_일별!$A$4:$A$213,MATCH(H10,코스피_일별!$D$4:$D$213,0))</f>
        <v/>
      </c>
    </row>
    <row r="11">
      <c r="B11" s="6" t="inlineStr">
        <is>
          <t>코스닥</t>
        </is>
      </c>
      <c r="C11" s="6" t="inlineStr">
        <is>
          <t>외국인</t>
        </is>
      </c>
      <c r="D11" s="6">
        <f>COUNTIF(코스닥_일별!$P$4:$P$213,"대량매수")</f>
        <v/>
      </c>
      <c r="E11" s="6">
        <f>COUNTIF(코스닥_일별!$P$4:$P$213,"대량매도")</f>
        <v/>
      </c>
      <c r="F11" s="7">
        <f>MAX(코스닥_일별!$C$4:$C$213)</f>
        <v/>
      </c>
      <c r="G11" s="8">
        <f>INDEX(코스닥_일별!$A$4:$A$213,MATCH(F11,코스닥_일별!$C$4:$C$213,0))</f>
        <v/>
      </c>
      <c r="H11" s="7">
        <f>MIN(코스닥_일별!$C$4:$C$213)</f>
        <v/>
      </c>
      <c r="I11" s="8">
        <f>INDEX(코스닥_일별!$A$4:$A$213,MATCH(H11,코스닥_일별!$C$4:$C$213,0))</f>
        <v/>
      </c>
    </row>
    <row r="12">
      <c r="B12" s="6" t="inlineStr">
        <is>
          <t>코스닥</t>
        </is>
      </c>
      <c r="C12" s="6" t="inlineStr">
        <is>
          <t>기관계</t>
        </is>
      </c>
      <c r="D12" s="6">
        <f>COUNTIF(코스닥_일별!$S$4:$S$213,"대량매수")</f>
        <v/>
      </c>
      <c r="E12" s="6">
        <f>COUNTIF(코스닥_일별!$S$4:$S$213,"대량매도")</f>
        <v/>
      </c>
      <c r="F12" s="7">
        <f>MAX(코스닥_일별!$D$4:$D$213)</f>
        <v/>
      </c>
      <c r="G12" s="8">
        <f>INDEX(코스닥_일별!$A$4:$A$213,MATCH(F12,코스닥_일별!$D$4:$D$213,0))</f>
        <v/>
      </c>
      <c r="H12" s="7">
        <f>MIN(코스닥_일별!$D$4:$D$213)</f>
        <v/>
      </c>
      <c r="I12" s="8">
        <f>INDEX(코스닥_일별!$A$4:$A$213,MATCH(H12,코스닥_일별!$D$4:$D$213,0))</f>
        <v/>
      </c>
    </row>
    <row r="14">
      <c r="A14" s="3" t="inlineStr">
        <is>
          <t>주요 관찰 (분석 시점 고정 텍스트)</t>
        </is>
      </c>
    </row>
    <row r="15" ht="30" customHeight="1">
      <c r="B15" s="9" t="inlineStr">
        <is>
          <t>[확인] 코스피 외국인 대량 매도 10일 중 7일이 5~6월에 집중. 최대 매도는 6/29(−7.73조), 유일한 대량 매수는 7/31(+7.24조).</t>
        </is>
      </c>
    </row>
    <row r="16" ht="30" customHeight="1">
      <c r="B16" s="9" t="inlineStr">
        <is>
          <t>[확인] 이번 9월 외국인 매도(9/28~10/02 5일 합 −9.0조)는 하루 규모가 평소의 3배 수준이라 대량 매도일 목록에는 없음. 규모보다 연속성이 특징.</t>
        </is>
      </c>
    </row>
    <row r="17" ht="30" customHeight="1">
      <c r="B17" s="9" t="inlineStr">
        <is>
          <t>[확인] 코스닥 9/10: 외국인 −1.13조(z −3.92), 기관 +1.40조(z +3.19). 투신 +1.27조가 기관 매수 대부분.</t>
        </is>
      </c>
    </row>
    <row r="18" ht="30" customHeight="1">
      <c r="B18" s="9" t="inlineStr">
        <is>
          <t>[확인] 코스닥 기관 1/26~1/30 5일 연속 대량 매수(합계 약 +10조, 최대 18배). 원인은 미확인.</t>
        </is>
      </c>
    </row>
    <row r="19" ht="30" customHeight="1">
      <c r="B19" s="9" t="inlineStr">
        <is>
          <t>[추정] 6/23~6/29 일주일 안에 기관(−4.48조, −4.12조)과 외국인(−7.73조)의 대량 매도가 몰림. 지수 등락률 데이터가 있어야 확정 가능.</t>
        </is>
      </c>
    </row>
    <row r="20" ht="30" customHeight="1">
      <c r="B20" s="9" t="inlineStr">
        <is>
          <t>[주의] 코스피 '기타법인'은 2026-08-20 이후 매일 약 +1.6조(이전 중앙값 +511억). 8/20 이후 외국인·개인 순매도의 상대편이 이 열. 원인 미확인.</t>
        </is>
      </c>
    </row>
    <row r="21" ht="30" customHeight="1">
      <c r="B21" s="9" t="inlineStr">
        <is>
          <t>[한계] 기준이 전체 기간 단일 값이라 변동성이 큰 2~6월이 많이 잡히고 조용한 시기의 큰 날은 덜 잡힘. 매수·매도 권유가 아닌 데이터 정리용.</t>
        </is>
      </c>
    </row>
  </sheetData>
  <mergeCells count="7">
    <mergeCell ref="B18:I18"/>
    <mergeCell ref="B21:I21"/>
    <mergeCell ref="B15:I15"/>
    <mergeCell ref="B16:I16"/>
    <mergeCell ref="B20:I20"/>
    <mergeCell ref="B19:I19"/>
    <mergeCell ref="B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  <col width="9" customWidth="1" min="7" max="7"/>
  </cols>
  <sheetData>
    <row r="1">
      <c r="A1" s="1" t="inlineStr">
        <is>
          <t>유독 많이 사고 판 날 (z점수 ±2 이상, 단위: 억원)</t>
        </is>
      </c>
    </row>
    <row r="2">
      <c r="A2" s="2" t="inlineStr">
        <is>
          <t>분석 시점(임계값 2.0) 고정 목록입니다. 임계값을 바꾸면 '코스피_일별'·'코스닥_일별'의 구분 열이 갱신되지만 이 목록은 갱신되지 않습니다. 평소대비 = |순매수| ÷ 전체 기간 |순매수| 중앙값.</t>
        </is>
      </c>
    </row>
    <row r="3">
      <c r="A3" s="5" t="inlineStr">
        <is>
          <t>시장</t>
        </is>
      </c>
      <c r="B3" s="5" t="inlineStr">
        <is>
          <t>주체</t>
        </is>
      </c>
      <c r="C3" s="5" t="inlineStr">
        <is>
          <t>날짜</t>
        </is>
      </c>
      <c r="D3" s="5" t="inlineStr">
        <is>
          <t>구분</t>
        </is>
      </c>
      <c r="E3" s="5" t="inlineStr">
        <is>
          <t>순매수(억원)</t>
        </is>
      </c>
      <c r="F3" s="5" t="inlineStr">
        <is>
          <t>평소대비(배)</t>
        </is>
      </c>
      <c r="G3" s="5" t="inlineStr">
        <is>
          <t>z점수</t>
        </is>
      </c>
    </row>
    <row r="4">
      <c r="A4" s="10" t="inlineStr">
        <is>
          <t>코스닥</t>
        </is>
      </c>
      <c r="B4" s="10" t="inlineStr">
        <is>
          <t>금융투자</t>
        </is>
      </c>
      <c r="C4" s="11" t="n">
        <v>46045</v>
      </c>
      <c r="D4" s="12" t="inlineStr">
        <is>
          <t>대량매수</t>
        </is>
      </c>
      <c r="E4" s="13" t="n">
        <v>8014</v>
      </c>
      <c r="F4" s="14" t="n">
        <v>8.5</v>
      </c>
      <c r="G4" s="15" t="n">
        <v>2.15</v>
      </c>
    </row>
    <row r="5">
      <c r="A5" s="10" t="inlineStr">
        <is>
          <t>코스닥</t>
        </is>
      </c>
      <c r="B5" s="10" t="inlineStr">
        <is>
          <t>금융투자</t>
        </is>
      </c>
      <c r="C5" s="11" t="n">
        <v>46048</v>
      </c>
      <c r="D5" s="12" t="inlineStr">
        <is>
          <t>대량매수</t>
        </is>
      </c>
      <c r="E5" s="13" t="n">
        <v>21065</v>
      </c>
      <c r="F5" s="14" t="n">
        <v>22.5</v>
      </c>
      <c r="G5" s="15" t="n">
        <v>5.97</v>
      </c>
    </row>
    <row r="6">
      <c r="A6" s="10" t="inlineStr">
        <is>
          <t>코스닥</t>
        </is>
      </c>
      <c r="B6" s="10" t="inlineStr">
        <is>
          <t>금융투자</t>
        </is>
      </c>
      <c r="C6" s="11" t="n">
        <v>46049</v>
      </c>
      <c r="D6" s="12" t="inlineStr">
        <is>
          <t>대량매수</t>
        </is>
      </c>
      <c r="E6" s="13" t="n">
        <v>15050</v>
      </c>
      <c r="F6" s="14" t="n">
        <v>16</v>
      </c>
      <c r="G6" s="15" t="n">
        <v>4.21</v>
      </c>
    </row>
    <row r="7">
      <c r="A7" s="10" t="inlineStr">
        <is>
          <t>코스닥</t>
        </is>
      </c>
      <c r="B7" s="10" t="inlineStr">
        <is>
          <t>금융투자</t>
        </is>
      </c>
      <c r="C7" s="11" t="n">
        <v>46050</v>
      </c>
      <c r="D7" s="12" t="inlineStr">
        <is>
          <t>대량매수</t>
        </is>
      </c>
      <c r="E7" s="13" t="n">
        <v>20610</v>
      </c>
      <c r="F7" s="14" t="n">
        <v>22</v>
      </c>
      <c r="G7" s="15" t="n">
        <v>5.83</v>
      </c>
    </row>
    <row r="8">
      <c r="A8" s="10" t="inlineStr">
        <is>
          <t>코스닥</t>
        </is>
      </c>
      <c r="B8" s="10" t="inlineStr">
        <is>
          <t>금융투자</t>
        </is>
      </c>
      <c r="C8" s="11" t="n">
        <v>46051</v>
      </c>
      <c r="D8" s="12" t="inlineStr">
        <is>
          <t>대량매수</t>
        </is>
      </c>
      <c r="E8" s="13" t="n">
        <v>20993</v>
      </c>
      <c r="F8" s="14" t="n">
        <v>22.4</v>
      </c>
      <c r="G8" s="15" t="n">
        <v>5.95</v>
      </c>
    </row>
    <row r="9">
      <c r="A9" s="10" t="inlineStr">
        <is>
          <t>코스닥</t>
        </is>
      </c>
      <c r="B9" s="10" t="inlineStr">
        <is>
          <t>금융투자</t>
        </is>
      </c>
      <c r="C9" s="11" t="n">
        <v>46052</v>
      </c>
      <c r="D9" s="12" t="inlineStr">
        <is>
          <t>대량매수</t>
        </is>
      </c>
      <c r="E9" s="13" t="n">
        <v>14908</v>
      </c>
      <c r="F9" s="14" t="n">
        <v>15.9</v>
      </c>
      <c r="G9" s="15" t="n">
        <v>4.17</v>
      </c>
    </row>
    <row r="10">
      <c r="A10" s="10" t="inlineStr">
        <is>
          <t>코스닥</t>
        </is>
      </c>
      <c r="B10" s="10" t="inlineStr">
        <is>
          <t>금융투자</t>
        </is>
      </c>
      <c r="C10" s="11" t="n">
        <v>46056</v>
      </c>
      <c r="D10" s="12" t="inlineStr">
        <is>
          <t>대량매수</t>
        </is>
      </c>
      <c r="E10" s="13" t="n">
        <v>7994</v>
      </c>
      <c r="F10" s="14" t="n">
        <v>8.5</v>
      </c>
      <c r="G10" s="15" t="n">
        <v>2.15</v>
      </c>
    </row>
    <row r="11">
      <c r="A11" s="10" t="inlineStr">
        <is>
          <t>코스닥</t>
        </is>
      </c>
      <c r="B11" s="10" t="inlineStr">
        <is>
          <t>금융투자</t>
        </is>
      </c>
      <c r="C11" s="11" t="n">
        <v>46072</v>
      </c>
      <c r="D11" s="12" t="inlineStr">
        <is>
          <t>대량매수</t>
        </is>
      </c>
      <c r="E11" s="13" t="n">
        <v>9354</v>
      </c>
      <c r="F11" s="14" t="n">
        <v>10</v>
      </c>
      <c r="G11" s="15" t="n">
        <v>2.55</v>
      </c>
    </row>
    <row r="12">
      <c r="A12" s="10" t="inlineStr">
        <is>
          <t>코스닥</t>
        </is>
      </c>
      <c r="B12" s="10" t="inlineStr">
        <is>
          <t>금융투자</t>
        </is>
      </c>
      <c r="C12" s="11" t="n">
        <v>46185</v>
      </c>
      <c r="D12" s="16" t="inlineStr">
        <is>
          <t>대량매도</t>
        </is>
      </c>
      <c r="E12" s="17" t="n">
        <v>-7010</v>
      </c>
      <c r="F12" s="14" t="n">
        <v>7.5</v>
      </c>
      <c r="G12" s="15" t="n">
        <v>-2.24</v>
      </c>
    </row>
    <row r="13">
      <c r="A13" s="10" t="inlineStr">
        <is>
          <t>코스닥</t>
        </is>
      </c>
      <c r="B13" s="10" t="inlineStr">
        <is>
          <t>기관계</t>
        </is>
      </c>
      <c r="C13" s="11" t="n">
        <v>46045</v>
      </c>
      <c r="D13" s="12" t="inlineStr">
        <is>
          <t>대량매수</t>
        </is>
      </c>
      <c r="E13" s="13" t="n">
        <v>9735</v>
      </c>
      <c r="F13" s="14" t="n">
        <v>6.7</v>
      </c>
      <c r="G13" s="15" t="n">
        <v>2.19</v>
      </c>
    </row>
    <row r="14">
      <c r="A14" s="10" t="inlineStr">
        <is>
          <t>코스닥</t>
        </is>
      </c>
      <c r="B14" s="10" t="inlineStr">
        <is>
          <t>기관계</t>
        </is>
      </c>
      <c r="C14" s="11" t="n">
        <v>46048</v>
      </c>
      <c r="D14" s="12" t="inlineStr">
        <is>
          <t>대량매수</t>
        </is>
      </c>
      <c r="E14" s="13" t="n">
        <v>26217</v>
      </c>
      <c r="F14" s="14" t="n">
        <v>18</v>
      </c>
      <c r="G14" s="15" t="n">
        <v>6.09</v>
      </c>
    </row>
    <row r="15">
      <c r="A15" s="10" t="inlineStr">
        <is>
          <t>코스닥</t>
        </is>
      </c>
      <c r="B15" s="10" t="inlineStr">
        <is>
          <t>기관계</t>
        </is>
      </c>
      <c r="C15" s="11" t="n">
        <v>46049</v>
      </c>
      <c r="D15" s="12" t="inlineStr">
        <is>
          <t>대량매수</t>
        </is>
      </c>
      <c r="E15" s="13" t="n">
        <v>16528</v>
      </c>
      <c r="F15" s="14" t="n">
        <v>11.3</v>
      </c>
      <c r="G15" s="15" t="n">
        <v>3.79</v>
      </c>
    </row>
    <row r="16">
      <c r="A16" s="10" t="inlineStr">
        <is>
          <t>코스닥</t>
        </is>
      </c>
      <c r="B16" s="10" t="inlineStr">
        <is>
          <t>기관계</t>
        </is>
      </c>
      <c r="C16" s="11" t="n">
        <v>46050</v>
      </c>
      <c r="D16" s="12" t="inlineStr">
        <is>
          <t>대량매수</t>
        </is>
      </c>
      <c r="E16" s="13" t="n">
        <v>23022</v>
      </c>
      <c r="F16" s="14" t="n">
        <v>15.8</v>
      </c>
      <c r="G16" s="15" t="n">
        <v>5.33</v>
      </c>
    </row>
    <row r="17">
      <c r="A17" s="10" t="inlineStr">
        <is>
          <t>코스닥</t>
        </is>
      </c>
      <c r="B17" s="10" t="inlineStr">
        <is>
          <t>기관계</t>
        </is>
      </c>
      <c r="C17" s="11" t="n">
        <v>46051</v>
      </c>
      <c r="D17" s="12" t="inlineStr">
        <is>
          <t>대량매수</t>
        </is>
      </c>
      <c r="E17" s="13" t="n">
        <v>20427</v>
      </c>
      <c r="F17" s="14" t="n">
        <v>14</v>
      </c>
      <c r="G17" s="15" t="n">
        <v>4.72</v>
      </c>
    </row>
    <row r="18">
      <c r="A18" s="10" t="inlineStr">
        <is>
          <t>코스닥</t>
        </is>
      </c>
      <c r="B18" s="10" t="inlineStr">
        <is>
          <t>기관계</t>
        </is>
      </c>
      <c r="C18" s="11" t="n">
        <v>46052</v>
      </c>
      <c r="D18" s="12" t="inlineStr">
        <is>
          <t>대량매수</t>
        </is>
      </c>
      <c r="E18" s="13" t="n">
        <v>13351</v>
      </c>
      <c r="F18" s="14" t="n">
        <v>9.199999999999999</v>
      </c>
      <c r="G18" s="15" t="n">
        <v>3.04</v>
      </c>
    </row>
    <row r="19">
      <c r="A19" s="10" t="inlineStr">
        <is>
          <t>코스닥</t>
        </is>
      </c>
      <c r="B19" s="10" t="inlineStr">
        <is>
          <t>기관계</t>
        </is>
      </c>
      <c r="C19" s="11" t="n">
        <v>46072</v>
      </c>
      <c r="D19" s="12" t="inlineStr">
        <is>
          <t>대량매수</t>
        </is>
      </c>
      <c r="E19" s="13" t="n">
        <v>10541</v>
      </c>
      <c r="F19" s="14" t="n">
        <v>7.2</v>
      </c>
      <c r="G19" s="15" t="n">
        <v>2.38</v>
      </c>
    </row>
    <row r="20">
      <c r="A20" s="10" t="inlineStr">
        <is>
          <t>코스닥</t>
        </is>
      </c>
      <c r="B20" s="10" t="inlineStr">
        <is>
          <t>기관계</t>
        </is>
      </c>
      <c r="C20" s="11" t="n">
        <v>46275</v>
      </c>
      <c r="D20" s="12" t="inlineStr">
        <is>
          <t>대량매수</t>
        </is>
      </c>
      <c r="E20" s="13" t="n">
        <v>13996</v>
      </c>
      <c r="F20" s="14" t="n">
        <v>9.6</v>
      </c>
      <c r="G20" s="15" t="n">
        <v>3.19</v>
      </c>
    </row>
    <row r="21">
      <c r="A21" s="10" t="inlineStr">
        <is>
          <t>코스닥</t>
        </is>
      </c>
      <c r="B21" s="10" t="inlineStr">
        <is>
          <t>연기금등</t>
        </is>
      </c>
      <c r="C21" s="11" t="n">
        <v>46017</v>
      </c>
      <c r="D21" s="12" t="inlineStr">
        <is>
          <t>대량매수</t>
        </is>
      </c>
      <c r="E21" s="13" t="n">
        <v>923</v>
      </c>
      <c r="F21" s="14" t="n">
        <v>4.6</v>
      </c>
      <c r="G21" s="15" t="n">
        <v>2.22</v>
      </c>
    </row>
    <row r="22">
      <c r="A22" s="10" t="inlineStr">
        <is>
          <t>코스닥</t>
        </is>
      </c>
      <c r="B22" s="10" t="inlineStr">
        <is>
          <t>연기금등</t>
        </is>
      </c>
      <c r="C22" s="11" t="n">
        <v>46043</v>
      </c>
      <c r="D22" s="16" t="inlineStr">
        <is>
          <t>대량매도</t>
        </is>
      </c>
      <c r="E22" s="17" t="n">
        <v>-2059</v>
      </c>
      <c r="F22" s="14" t="n">
        <v>10.3</v>
      </c>
      <c r="G22" s="15" t="n">
        <v>-5.1</v>
      </c>
    </row>
    <row r="23">
      <c r="A23" s="10" t="inlineStr">
        <is>
          <t>코스닥</t>
        </is>
      </c>
      <c r="B23" s="10" t="inlineStr">
        <is>
          <t>연기금등</t>
        </is>
      </c>
      <c r="C23" s="11" t="n">
        <v>46048</v>
      </c>
      <c r="D23" s="12" t="inlineStr">
        <is>
          <t>대량매수</t>
        </is>
      </c>
      <c r="E23" s="13" t="n">
        <v>1507</v>
      </c>
      <c r="F23" s="14" t="n">
        <v>7.6</v>
      </c>
      <c r="G23" s="15" t="n">
        <v>3.65</v>
      </c>
    </row>
    <row r="24">
      <c r="A24" s="10" t="inlineStr">
        <is>
          <t>코스닥</t>
        </is>
      </c>
      <c r="B24" s="10" t="inlineStr">
        <is>
          <t>연기금등</t>
        </is>
      </c>
      <c r="C24" s="11" t="n">
        <v>46050</v>
      </c>
      <c r="D24" s="12" t="inlineStr">
        <is>
          <t>대량매수</t>
        </is>
      </c>
      <c r="E24" s="13" t="n">
        <v>924</v>
      </c>
      <c r="F24" s="14" t="n">
        <v>4.6</v>
      </c>
      <c r="G24" s="15" t="n">
        <v>2.22</v>
      </c>
    </row>
    <row r="25">
      <c r="A25" s="10" t="inlineStr">
        <is>
          <t>코스닥</t>
        </is>
      </c>
      <c r="B25" s="10" t="inlineStr">
        <is>
          <t>연기금등</t>
        </is>
      </c>
      <c r="C25" s="11" t="n">
        <v>46058</v>
      </c>
      <c r="D25" s="16" t="inlineStr">
        <is>
          <t>대량매도</t>
        </is>
      </c>
      <c r="E25" s="17" t="n">
        <v>-1044</v>
      </c>
      <c r="F25" s="14" t="n">
        <v>5.2</v>
      </c>
      <c r="G25" s="15" t="n">
        <v>-2.61</v>
      </c>
    </row>
    <row r="26">
      <c r="A26" s="10" t="inlineStr">
        <is>
          <t>코스닥</t>
        </is>
      </c>
      <c r="B26" s="10" t="inlineStr">
        <is>
          <t>연기금등</t>
        </is>
      </c>
      <c r="C26" s="11" t="n">
        <v>46087</v>
      </c>
      <c r="D26" s="12" t="inlineStr">
        <is>
          <t>대량매수</t>
        </is>
      </c>
      <c r="E26" s="13" t="n">
        <v>1656</v>
      </c>
      <c r="F26" s="14" t="n">
        <v>8.300000000000001</v>
      </c>
      <c r="G26" s="15" t="n">
        <v>4.01</v>
      </c>
    </row>
    <row r="27">
      <c r="A27" s="10" t="inlineStr">
        <is>
          <t>코스닥</t>
        </is>
      </c>
      <c r="B27" s="10" t="inlineStr">
        <is>
          <t>연기금등</t>
        </is>
      </c>
      <c r="C27" s="11" t="n">
        <v>46114</v>
      </c>
      <c r="D27" s="16" t="inlineStr">
        <is>
          <t>대량매도</t>
        </is>
      </c>
      <c r="E27" s="17" t="n">
        <v>-1041</v>
      </c>
      <c r="F27" s="14" t="n">
        <v>5.2</v>
      </c>
      <c r="G27" s="15" t="n">
        <v>-2.61</v>
      </c>
    </row>
    <row r="28">
      <c r="A28" s="10" t="inlineStr">
        <is>
          <t>코스닥</t>
        </is>
      </c>
      <c r="B28" s="10" t="inlineStr">
        <is>
          <t>연기금등</t>
        </is>
      </c>
      <c r="C28" s="11" t="n">
        <v>46164</v>
      </c>
      <c r="D28" s="12" t="inlineStr">
        <is>
          <t>대량매수</t>
        </is>
      </c>
      <c r="E28" s="13" t="n">
        <v>858</v>
      </c>
      <c r="F28" s="14" t="n">
        <v>4.3</v>
      </c>
      <c r="G28" s="15" t="n">
        <v>2.06</v>
      </c>
    </row>
    <row r="29">
      <c r="A29" s="10" t="inlineStr">
        <is>
          <t>코스닥</t>
        </is>
      </c>
      <c r="B29" s="10" t="inlineStr">
        <is>
          <t>연기금등</t>
        </is>
      </c>
      <c r="C29" s="11" t="n">
        <v>46174</v>
      </c>
      <c r="D29" s="16" t="inlineStr">
        <is>
          <t>대량매도</t>
        </is>
      </c>
      <c r="E29" s="17" t="n">
        <v>-853</v>
      </c>
      <c r="F29" s="14" t="n">
        <v>4.3</v>
      </c>
      <c r="G29" s="15" t="n">
        <v>-2.14</v>
      </c>
    </row>
    <row r="30">
      <c r="A30" s="10" t="inlineStr">
        <is>
          <t>코스닥</t>
        </is>
      </c>
      <c r="B30" s="10" t="inlineStr">
        <is>
          <t>연기금등</t>
        </is>
      </c>
      <c r="C30" s="11" t="n">
        <v>46184</v>
      </c>
      <c r="D30" s="12" t="inlineStr">
        <is>
          <t>대량매수</t>
        </is>
      </c>
      <c r="E30" s="13" t="n">
        <v>878</v>
      </c>
      <c r="F30" s="14" t="n">
        <v>4.4</v>
      </c>
      <c r="G30" s="15" t="n">
        <v>2.11</v>
      </c>
    </row>
    <row r="31">
      <c r="A31" s="10" t="inlineStr">
        <is>
          <t>코스닥</t>
        </is>
      </c>
      <c r="B31" s="10" t="inlineStr">
        <is>
          <t>연기금등</t>
        </is>
      </c>
      <c r="C31" s="11" t="n">
        <v>46205</v>
      </c>
      <c r="D31" s="16" t="inlineStr">
        <is>
          <t>대량매도</t>
        </is>
      </c>
      <c r="E31" s="17" t="n">
        <v>-829</v>
      </c>
      <c r="F31" s="14" t="n">
        <v>4.2</v>
      </c>
      <c r="G31" s="15" t="n">
        <v>-2.08</v>
      </c>
    </row>
    <row r="32">
      <c r="A32" s="10" t="inlineStr">
        <is>
          <t>코스닥</t>
        </is>
      </c>
      <c r="B32" s="10" t="inlineStr">
        <is>
          <t>연기금등</t>
        </is>
      </c>
      <c r="C32" s="11" t="n">
        <v>46227</v>
      </c>
      <c r="D32" s="16" t="inlineStr">
        <is>
          <t>대량매도</t>
        </is>
      </c>
      <c r="E32" s="17" t="n">
        <v>-799</v>
      </c>
      <c r="F32" s="14" t="n">
        <v>4</v>
      </c>
      <c r="G32" s="15" t="n">
        <v>-2.01</v>
      </c>
    </row>
    <row r="33">
      <c r="A33" s="10" t="inlineStr">
        <is>
          <t>코스닥</t>
        </is>
      </c>
      <c r="B33" s="10" t="inlineStr">
        <is>
          <t>외국인</t>
        </is>
      </c>
      <c r="C33" s="11" t="n">
        <v>46072</v>
      </c>
      <c r="D33" s="12" t="inlineStr">
        <is>
          <t>대량매수</t>
        </is>
      </c>
      <c r="E33" s="13" t="n">
        <v>8540</v>
      </c>
      <c r="F33" s="14" t="n">
        <v>5</v>
      </c>
      <c r="G33" s="15" t="n">
        <v>2.89</v>
      </c>
    </row>
    <row r="34">
      <c r="A34" s="10" t="inlineStr">
        <is>
          <t>코스닥</t>
        </is>
      </c>
      <c r="B34" s="10" t="inlineStr">
        <is>
          <t>외국인</t>
        </is>
      </c>
      <c r="C34" s="11" t="n">
        <v>46085</v>
      </c>
      <c r="D34" s="12" t="inlineStr">
        <is>
          <t>대량매수</t>
        </is>
      </c>
      <c r="E34" s="13" t="n">
        <v>11703</v>
      </c>
      <c r="F34" s="14" t="n">
        <v>6.9</v>
      </c>
      <c r="G34" s="15" t="n">
        <v>3.98</v>
      </c>
    </row>
    <row r="35">
      <c r="A35" s="10" t="inlineStr">
        <is>
          <t>코스닥</t>
        </is>
      </c>
      <c r="B35" s="10" t="inlineStr">
        <is>
          <t>외국인</t>
        </is>
      </c>
      <c r="C35" s="11" t="n">
        <v>46086</v>
      </c>
      <c r="D35" s="12" t="inlineStr">
        <is>
          <t>대량매수</t>
        </is>
      </c>
      <c r="E35" s="13" t="n">
        <v>8322</v>
      </c>
      <c r="F35" s="14" t="n">
        <v>4.9</v>
      </c>
      <c r="G35" s="15" t="n">
        <v>2.82</v>
      </c>
    </row>
    <row r="36">
      <c r="A36" s="10" t="inlineStr">
        <is>
          <t>코스닥</t>
        </is>
      </c>
      <c r="B36" s="10" t="inlineStr">
        <is>
          <t>외국인</t>
        </is>
      </c>
      <c r="C36" s="11" t="n">
        <v>46093</v>
      </c>
      <c r="D36" s="16" t="inlineStr">
        <is>
          <t>대량매도</t>
        </is>
      </c>
      <c r="E36" s="17" t="n">
        <v>-6867</v>
      </c>
      <c r="F36" s="14" t="n">
        <v>4</v>
      </c>
      <c r="G36" s="15" t="n">
        <v>-2.41</v>
      </c>
    </row>
    <row r="37">
      <c r="A37" s="10" t="inlineStr">
        <is>
          <t>코스닥</t>
        </is>
      </c>
      <c r="B37" s="10" t="inlineStr">
        <is>
          <t>외국인</t>
        </is>
      </c>
      <c r="C37" s="11" t="n">
        <v>46136</v>
      </c>
      <c r="D37" s="12" t="inlineStr">
        <is>
          <t>대량매수</t>
        </is>
      </c>
      <c r="E37" s="13" t="n">
        <v>7325</v>
      </c>
      <c r="F37" s="14" t="n">
        <v>4.3</v>
      </c>
      <c r="G37" s="15" t="n">
        <v>2.48</v>
      </c>
    </row>
    <row r="38">
      <c r="A38" s="10" t="inlineStr">
        <is>
          <t>코스닥</t>
        </is>
      </c>
      <c r="B38" s="10" t="inlineStr">
        <is>
          <t>외국인</t>
        </is>
      </c>
      <c r="C38" s="11" t="n">
        <v>46155</v>
      </c>
      <c r="D38" s="16" t="inlineStr">
        <is>
          <t>대량매도</t>
        </is>
      </c>
      <c r="E38" s="17" t="n">
        <v>-6016</v>
      </c>
      <c r="F38" s="14" t="n">
        <v>3.5</v>
      </c>
      <c r="G38" s="15" t="n">
        <v>-2.12</v>
      </c>
    </row>
    <row r="39">
      <c r="A39" s="10" t="inlineStr">
        <is>
          <t>코스닥</t>
        </is>
      </c>
      <c r="B39" s="10" t="inlineStr">
        <is>
          <t>외국인</t>
        </is>
      </c>
      <c r="C39" s="11" t="n">
        <v>46164</v>
      </c>
      <c r="D39" s="12" t="inlineStr">
        <is>
          <t>대량매수</t>
        </is>
      </c>
      <c r="E39" s="13" t="n">
        <v>5975</v>
      </c>
      <c r="F39" s="14" t="n">
        <v>3.5</v>
      </c>
      <c r="G39" s="15" t="n">
        <v>2.01</v>
      </c>
    </row>
    <row r="40">
      <c r="A40" s="10" t="inlineStr">
        <is>
          <t>코스닥</t>
        </is>
      </c>
      <c r="B40" s="10" t="inlineStr">
        <is>
          <t>외국인</t>
        </is>
      </c>
      <c r="C40" s="11" t="n">
        <v>46174</v>
      </c>
      <c r="D40" s="12" t="inlineStr">
        <is>
          <t>대량매수</t>
        </is>
      </c>
      <c r="E40" s="13" t="n">
        <v>8064</v>
      </c>
      <c r="F40" s="14" t="n">
        <v>4.7</v>
      </c>
      <c r="G40" s="15" t="n">
        <v>2.73</v>
      </c>
    </row>
    <row r="41">
      <c r="A41" s="10" t="inlineStr">
        <is>
          <t>코스닥</t>
        </is>
      </c>
      <c r="B41" s="10" t="inlineStr">
        <is>
          <t>외국인</t>
        </is>
      </c>
      <c r="C41" s="11" t="n">
        <v>46188</v>
      </c>
      <c r="D41" s="16" t="inlineStr">
        <is>
          <t>대량매도</t>
        </is>
      </c>
      <c r="E41" s="17" t="n">
        <v>-8164</v>
      </c>
      <c r="F41" s="14" t="n">
        <v>4.8</v>
      </c>
      <c r="G41" s="15" t="n">
        <v>-2.86</v>
      </c>
    </row>
    <row r="42">
      <c r="A42" s="10" t="inlineStr">
        <is>
          <t>코스닥</t>
        </is>
      </c>
      <c r="B42" s="10" t="inlineStr">
        <is>
          <t>외국인</t>
        </is>
      </c>
      <c r="C42" s="11" t="n">
        <v>46275</v>
      </c>
      <c r="D42" s="16" t="inlineStr">
        <is>
          <t>대량매도</t>
        </is>
      </c>
      <c r="E42" s="17" t="n">
        <v>-11253</v>
      </c>
      <c r="F42" s="14" t="n">
        <v>6.6</v>
      </c>
      <c r="G42" s="15" t="n">
        <v>-3.92</v>
      </c>
    </row>
    <row r="43">
      <c r="A43" s="10" t="inlineStr">
        <is>
          <t>코스닥</t>
        </is>
      </c>
      <c r="B43" s="10" t="inlineStr">
        <is>
          <t>투신(사모)</t>
        </is>
      </c>
      <c r="C43" s="11" t="n">
        <v>46043</v>
      </c>
      <c r="D43" s="16" t="inlineStr">
        <is>
          <t>대량매도</t>
        </is>
      </c>
      <c r="E43" s="17" t="n">
        <v>-4225</v>
      </c>
      <c r="F43" s="14" t="n">
        <v>7</v>
      </c>
      <c r="G43" s="15" t="n">
        <v>-2.45</v>
      </c>
    </row>
    <row r="44">
      <c r="A44" s="10" t="inlineStr">
        <is>
          <t>코스닥</t>
        </is>
      </c>
      <c r="B44" s="10" t="inlineStr">
        <is>
          <t>투신(사모)</t>
        </is>
      </c>
      <c r="C44" s="11" t="n">
        <v>46048</v>
      </c>
      <c r="D44" s="12" t="inlineStr">
        <is>
          <t>대량매수</t>
        </is>
      </c>
      <c r="E44" s="13" t="n">
        <v>3635</v>
      </c>
      <c r="F44" s="14" t="n">
        <v>6</v>
      </c>
      <c r="G44" s="15" t="n">
        <v>2.15</v>
      </c>
    </row>
    <row r="45">
      <c r="A45" s="10" t="inlineStr">
        <is>
          <t>코스닥</t>
        </is>
      </c>
      <c r="B45" s="10" t="inlineStr">
        <is>
          <t>투신(사모)</t>
        </is>
      </c>
      <c r="C45" s="11" t="n">
        <v>46154</v>
      </c>
      <c r="D45" s="16" t="inlineStr">
        <is>
          <t>대량매도</t>
        </is>
      </c>
      <c r="E45" s="17" t="n">
        <v>-3803</v>
      </c>
      <c r="F45" s="14" t="n">
        <v>6.3</v>
      </c>
      <c r="G45" s="15" t="n">
        <v>-2.2</v>
      </c>
    </row>
    <row r="46">
      <c r="A46" s="10" t="inlineStr">
        <is>
          <t>코스닥</t>
        </is>
      </c>
      <c r="B46" s="10" t="inlineStr">
        <is>
          <t>투신(사모)</t>
        </is>
      </c>
      <c r="C46" s="11" t="n">
        <v>46185</v>
      </c>
      <c r="D46" s="12" t="inlineStr">
        <is>
          <t>대량매수</t>
        </is>
      </c>
      <c r="E46" s="13" t="n">
        <v>12612</v>
      </c>
      <c r="F46" s="14" t="n">
        <v>20.9</v>
      </c>
      <c r="G46" s="15" t="n">
        <v>7.4</v>
      </c>
    </row>
    <row r="47">
      <c r="A47" s="10" t="inlineStr">
        <is>
          <t>코스닥</t>
        </is>
      </c>
      <c r="B47" s="10" t="inlineStr">
        <is>
          <t>투신(사모)</t>
        </is>
      </c>
      <c r="C47" s="11" t="n">
        <v>46205</v>
      </c>
      <c r="D47" s="16" t="inlineStr">
        <is>
          <t>대량매도</t>
        </is>
      </c>
      <c r="E47" s="17" t="n">
        <v>-3905</v>
      </c>
      <c r="F47" s="14" t="n">
        <v>6.5</v>
      </c>
      <c r="G47" s="15" t="n">
        <v>-2.26</v>
      </c>
    </row>
    <row r="48">
      <c r="A48" s="10" t="inlineStr">
        <is>
          <t>코스닥</t>
        </is>
      </c>
      <c r="B48" s="10" t="inlineStr">
        <is>
          <t>투신(사모)</t>
        </is>
      </c>
      <c r="C48" s="11" t="n">
        <v>46213</v>
      </c>
      <c r="D48" s="12" t="inlineStr">
        <is>
          <t>대량매수</t>
        </is>
      </c>
      <c r="E48" s="13" t="n">
        <v>3501</v>
      </c>
      <c r="F48" s="14" t="n">
        <v>5.8</v>
      </c>
      <c r="G48" s="15" t="n">
        <v>2.07</v>
      </c>
    </row>
    <row r="49">
      <c r="A49" s="10" t="inlineStr">
        <is>
          <t>코스닥</t>
        </is>
      </c>
      <c r="B49" s="10" t="inlineStr">
        <is>
          <t>투신(사모)</t>
        </is>
      </c>
      <c r="C49" s="11" t="n">
        <v>46275</v>
      </c>
      <c r="D49" s="12" t="inlineStr">
        <is>
          <t>대량매수</t>
        </is>
      </c>
      <c r="E49" s="13" t="n">
        <v>12724</v>
      </c>
      <c r="F49" s="14" t="n">
        <v>21.1</v>
      </c>
      <c r="G49" s="15" t="n">
        <v>7.47</v>
      </c>
    </row>
    <row r="50">
      <c r="A50" s="10" t="inlineStr">
        <is>
          <t>코스피</t>
        </is>
      </c>
      <c r="B50" s="10" t="inlineStr">
        <is>
          <t>금융투자</t>
        </is>
      </c>
      <c r="C50" s="11" t="n">
        <v>46055</v>
      </c>
      <c r="D50" s="16" t="inlineStr">
        <is>
          <t>대량매도</t>
        </is>
      </c>
      <c r="E50" s="17" t="n">
        <v>-21755</v>
      </c>
      <c r="F50" s="14" t="n">
        <v>3.1</v>
      </c>
      <c r="G50" s="15" t="n">
        <v>-2.36</v>
      </c>
    </row>
    <row r="51">
      <c r="A51" s="10" t="inlineStr">
        <is>
          <t>코스피</t>
        </is>
      </c>
      <c r="B51" s="10" t="inlineStr">
        <is>
          <t>금융투자</t>
        </is>
      </c>
      <c r="C51" s="11" t="n">
        <v>46058</v>
      </c>
      <c r="D51" s="16" t="inlineStr">
        <is>
          <t>대량매도</t>
        </is>
      </c>
      <c r="E51" s="17" t="n">
        <v>-18829</v>
      </c>
      <c r="F51" s="14" t="n">
        <v>2.7</v>
      </c>
      <c r="G51" s="15" t="n">
        <v>-2.09</v>
      </c>
    </row>
    <row r="52">
      <c r="A52" s="10" t="inlineStr">
        <is>
          <t>코스피</t>
        </is>
      </c>
      <c r="B52" s="10" t="inlineStr">
        <is>
          <t>금융투자</t>
        </is>
      </c>
      <c r="C52" s="11" t="n">
        <v>46077</v>
      </c>
      <c r="D52" s="12" t="inlineStr">
        <is>
          <t>대량매수</t>
        </is>
      </c>
      <c r="E52" s="13" t="n">
        <v>26669</v>
      </c>
      <c r="F52" s="14" t="n">
        <v>3.8</v>
      </c>
      <c r="G52" s="15" t="n">
        <v>2.12</v>
      </c>
    </row>
    <row r="53">
      <c r="A53" s="10" t="inlineStr">
        <is>
          <t>코스피</t>
        </is>
      </c>
      <c r="B53" s="10" t="inlineStr">
        <is>
          <t>금융투자</t>
        </is>
      </c>
      <c r="C53" s="11" t="n">
        <v>46099</v>
      </c>
      <c r="D53" s="12" t="inlineStr">
        <is>
          <t>대량매수</t>
        </is>
      </c>
      <c r="E53" s="13" t="n">
        <v>30984</v>
      </c>
      <c r="F53" s="14" t="n">
        <v>4.4</v>
      </c>
      <c r="G53" s="15" t="n">
        <v>2.52</v>
      </c>
    </row>
    <row r="54">
      <c r="A54" s="10" t="inlineStr">
        <is>
          <t>코스피</t>
        </is>
      </c>
      <c r="B54" s="10" t="inlineStr">
        <is>
          <t>금융투자</t>
        </is>
      </c>
      <c r="C54" s="11" t="n">
        <v>46104</v>
      </c>
      <c r="D54" s="16" t="inlineStr">
        <is>
          <t>대량매도</t>
        </is>
      </c>
      <c r="E54" s="17" t="n">
        <v>-30239</v>
      </c>
      <c r="F54" s="14" t="n">
        <v>4.3</v>
      </c>
      <c r="G54" s="15" t="n">
        <v>-3.14</v>
      </c>
    </row>
    <row r="55">
      <c r="A55" s="10" t="inlineStr">
        <is>
          <t>코스피</t>
        </is>
      </c>
      <c r="B55" s="10" t="inlineStr">
        <is>
          <t>금융투자</t>
        </is>
      </c>
      <c r="C55" s="11" t="n">
        <v>46113</v>
      </c>
      <c r="D55" s="12" t="inlineStr">
        <is>
          <t>대량매수</t>
        </is>
      </c>
      <c r="E55" s="13" t="n">
        <v>34308</v>
      </c>
      <c r="F55" s="14" t="n">
        <v>4.9</v>
      </c>
      <c r="G55" s="15" t="n">
        <v>2.83</v>
      </c>
    </row>
    <row r="56">
      <c r="A56" s="10" t="inlineStr">
        <is>
          <t>코스피</t>
        </is>
      </c>
      <c r="B56" s="10" t="inlineStr">
        <is>
          <t>금융투자</t>
        </is>
      </c>
      <c r="C56" s="11" t="n">
        <v>46120</v>
      </c>
      <c r="D56" s="12" t="inlineStr">
        <is>
          <t>대량매수</t>
        </is>
      </c>
      <c r="E56" s="13" t="n">
        <v>29960</v>
      </c>
      <c r="F56" s="14" t="n">
        <v>4.3</v>
      </c>
      <c r="G56" s="15" t="n">
        <v>2.43</v>
      </c>
    </row>
    <row r="57">
      <c r="A57" s="10" t="inlineStr">
        <is>
          <t>코스피</t>
        </is>
      </c>
      <c r="B57" s="10" t="inlineStr">
        <is>
          <t>금융투자</t>
        </is>
      </c>
      <c r="C57" s="11" t="n">
        <v>46163</v>
      </c>
      <c r="D57" s="12" t="inlineStr">
        <is>
          <t>대량매수</t>
        </is>
      </c>
      <c r="E57" s="13" t="n">
        <v>26231</v>
      </c>
      <c r="F57" s="14" t="n">
        <v>3.7</v>
      </c>
      <c r="G57" s="15" t="n">
        <v>2.08</v>
      </c>
    </row>
    <row r="58">
      <c r="A58" s="10" t="inlineStr">
        <is>
          <t>코스피</t>
        </is>
      </c>
      <c r="B58" s="10" t="inlineStr">
        <is>
          <t>금융투자</t>
        </is>
      </c>
      <c r="C58" s="11" t="n">
        <v>46174</v>
      </c>
      <c r="D58" s="12" t="inlineStr">
        <is>
          <t>대량매수</t>
        </is>
      </c>
      <c r="E58" s="13" t="n">
        <v>26892</v>
      </c>
      <c r="F58" s="14" t="n">
        <v>3.8</v>
      </c>
      <c r="G58" s="15" t="n">
        <v>2.14</v>
      </c>
    </row>
    <row r="59">
      <c r="A59" s="10" t="inlineStr">
        <is>
          <t>코스피</t>
        </is>
      </c>
      <c r="B59" s="10" t="inlineStr">
        <is>
          <t>금융투자</t>
        </is>
      </c>
      <c r="C59" s="11" t="n">
        <v>46196</v>
      </c>
      <c r="D59" s="16" t="inlineStr">
        <is>
          <t>대량매도</t>
        </is>
      </c>
      <c r="E59" s="17" t="n">
        <v>-20908</v>
      </c>
      <c r="F59" s="14" t="n">
        <v>3</v>
      </c>
      <c r="G59" s="15" t="n">
        <v>-2.28</v>
      </c>
    </row>
    <row r="60">
      <c r="A60" s="10" t="inlineStr">
        <is>
          <t>코스피</t>
        </is>
      </c>
      <c r="B60" s="10" t="inlineStr">
        <is>
          <t>금융투자</t>
        </is>
      </c>
      <c r="C60" s="11" t="n">
        <v>46199</v>
      </c>
      <c r="D60" s="16" t="inlineStr">
        <is>
          <t>대량매도</t>
        </is>
      </c>
      <c r="E60" s="17" t="n">
        <v>-19935</v>
      </c>
      <c r="F60" s="14" t="n">
        <v>2.8</v>
      </c>
      <c r="G60" s="15" t="n">
        <v>-2.19</v>
      </c>
    </row>
    <row r="61">
      <c r="A61" s="10" t="inlineStr">
        <is>
          <t>코스피</t>
        </is>
      </c>
      <c r="B61" s="10" t="inlineStr">
        <is>
          <t>금융투자</t>
        </is>
      </c>
      <c r="C61" s="11" t="n">
        <v>46202</v>
      </c>
      <c r="D61" s="12" t="inlineStr">
        <is>
          <t>대량매수</t>
        </is>
      </c>
      <c r="E61" s="13" t="n">
        <v>30270</v>
      </c>
      <c r="F61" s="14" t="n">
        <v>4.3</v>
      </c>
      <c r="G61" s="15" t="n">
        <v>2.46</v>
      </c>
    </row>
    <row r="62">
      <c r="A62" s="10" t="inlineStr">
        <is>
          <t>코스피</t>
        </is>
      </c>
      <c r="B62" s="10" t="inlineStr">
        <is>
          <t>금융투자</t>
        </is>
      </c>
      <c r="C62" s="11" t="n">
        <v>46206</v>
      </c>
      <c r="D62" s="12" t="inlineStr">
        <is>
          <t>대량매수</t>
        </is>
      </c>
      <c r="E62" s="13" t="n">
        <v>30153</v>
      </c>
      <c r="F62" s="14" t="n">
        <v>4.3</v>
      </c>
      <c r="G62" s="15" t="n">
        <v>2.45</v>
      </c>
    </row>
    <row r="63">
      <c r="A63" s="10" t="inlineStr">
        <is>
          <t>코스피</t>
        </is>
      </c>
      <c r="B63" s="10" t="inlineStr">
        <is>
          <t>기관계</t>
        </is>
      </c>
      <c r="C63" s="11" t="n">
        <v>46099</v>
      </c>
      <c r="D63" s="12" t="inlineStr">
        <is>
          <t>대량매수</t>
        </is>
      </c>
      <c r="E63" s="13" t="n">
        <v>31093</v>
      </c>
      <c r="F63" s="14" t="n">
        <v>3.8</v>
      </c>
      <c r="G63" s="15" t="n">
        <v>2.09</v>
      </c>
    </row>
    <row r="64">
      <c r="A64" s="10" t="inlineStr">
        <is>
          <t>코스피</t>
        </is>
      </c>
      <c r="B64" s="10" t="inlineStr">
        <is>
          <t>기관계</t>
        </is>
      </c>
      <c r="C64" s="11" t="n">
        <v>46104</v>
      </c>
      <c r="D64" s="16" t="inlineStr">
        <is>
          <t>대량매도</t>
        </is>
      </c>
      <c r="E64" s="17" t="n">
        <v>-38173</v>
      </c>
      <c r="F64" s="14" t="n">
        <v>4.6</v>
      </c>
      <c r="G64" s="15" t="n">
        <v>-2.93</v>
      </c>
    </row>
    <row r="65">
      <c r="A65" s="10" t="inlineStr">
        <is>
          <t>코스피</t>
        </is>
      </c>
      <c r="B65" s="10" t="inlineStr">
        <is>
          <t>기관계</t>
        </is>
      </c>
      <c r="C65" s="11" t="n">
        <v>46113</v>
      </c>
      <c r="D65" s="12" t="inlineStr">
        <is>
          <t>대량매수</t>
        </is>
      </c>
      <c r="E65" s="13" t="n">
        <v>40419</v>
      </c>
      <c r="F65" s="14" t="n">
        <v>4.9</v>
      </c>
      <c r="G65" s="15" t="n">
        <v>2.77</v>
      </c>
    </row>
    <row r="66">
      <c r="A66" s="10" t="inlineStr">
        <is>
          <t>코스피</t>
        </is>
      </c>
      <c r="B66" s="10" t="inlineStr">
        <is>
          <t>기관계</t>
        </is>
      </c>
      <c r="C66" s="11" t="n">
        <v>46196</v>
      </c>
      <c r="D66" s="16" t="inlineStr">
        <is>
          <t>대량매도</t>
        </is>
      </c>
      <c r="E66" s="17" t="n">
        <v>-44760</v>
      </c>
      <c r="F66" s="14" t="n">
        <v>5.4</v>
      </c>
      <c r="G66" s="15" t="n">
        <v>-3.41</v>
      </c>
    </row>
    <row r="67">
      <c r="A67" s="10" t="inlineStr">
        <is>
          <t>코스피</t>
        </is>
      </c>
      <c r="B67" s="10" t="inlineStr">
        <is>
          <t>기관계</t>
        </is>
      </c>
      <c r="C67" s="11" t="n">
        <v>46198</v>
      </c>
      <c r="D67" s="12" t="inlineStr">
        <is>
          <t>대량매수</t>
        </is>
      </c>
      <c r="E67" s="13" t="n">
        <v>33244</v>
      </c>
      <c r="F67" s="14" t="n">
        <v>4</v>
      </c>
      <c r="G67" s="15" t="n">
        <v>2.25</v>
      </c>
    </row>
    <row r="68">
      <c r="A68" s="10" t="inlineStr">
        <is>
          <t>코스피</t>
        </is>
      </c>
      <c r="B68" s="10" t="inlineStr">
        <is>
          <t>기관계</t>
        </is>
      </c>
      <c r="C68" s="11" t="n">
        <v>46199</v>
      </c>
      <c r="D68" s="16" t="inlineStr">
        <is>
          <t>대량매도</t>
        </is>
      </c>
      <c r="E68" s="17" t="n">
        <v>-41224</v>
      </c>
      <c r="F68" s="14" t="n">
        <v>5</v>
      </c>
      <c r="G68" s="15" t="n">
        <v>-3.15</v>
      </c>
    </row>
    <row r="69">
      <c r="A69" s="10" t="inlineStr">
        <is>
          <t>코스피</t>
        </is>
      </c>
      <c r="B69" s="10" t="inlineStr">
        <is>
          <t>기관계</t>
        </is>
      </c>
      <c r="C69" s="11" t="n">
        <v>46206</v>
      </c>
      <c r="D69" s="12" t="inlineStr">
        <is>
          <t>대량매수</t>
        </is>
      </c>
      <c r="E69" s="13" t="n">
        <v>44079</v>
      </c>
      <c r="F69" s="14" t="n">
        <v>5.3</v>
      </c>
      <c r="G69" s="15" t="n">
        <v>3.03</v>
      </c>
    </row>
    <row r="70">
      <c r="A70" s="10" t="inlineStr">
        <is>
          <t>코스피</t>
        </is>
      </c>
      <c r="B70" s="10" t="inlineStr">
        <is>
          <t>기관계</t>
        </is>
      </c>
      <c r="C70" s="11" t="n">
        <v>46217</v>
      </c>
      <c r="D70" s="12" t="inlineStr">
        <is>
          <t>대량매수</t>
        </is>
      </c>
      <c r="E70" s="13" t="n">
        <v>32117</v>
      </c>
      <c r="F70" s="14" t="n">
        <v>3.9</v>
      </c>
      <c r="G70" s="15" t="n">
        <v>2.16</v>
      </c>
    </row>
    <row r="71">
      <c r="A71" s="10" t="inlineStr">
        <is>
          <t>코스피</t>
        </is>
      </c>
      <c r="B71" s="10" t="inlineStr">
        <is>
          <t>기관계</t>
        </is>
      </c>
      <c r="C71" s="11" t="n">
        <v>46232</v>
      </c>
      <c r="D71" s="12" t="inlineStr">
        <is>
          <t>대량매수</t>
        </is>
      </c>
      <c r="E71" s="13" t="n">
        <v>31769</v>
      </c>
      <c r="F71" s="14" t="n">
        <v>3.8</v>
      </c>
      <c r="G71" s="15" t="n">
        <v>2.14</v>
      </c>
    </row>
    <row r="72">
      <c r="A72" s="10" t="inlineStr">
        <is>
          <t>코스피</t>
        </is>
      </c>
      <c r="B72" s="10" t="inlineStr">
        <is>
          <t>연기금등</t>
        </is>
      </c>
      <c r="C72" s="11" t="n">
        <v>46153</v>
      </c>
      <c r="D72" s="16" t="inlineStr">
        <is>
          <t>대량매도</t>
        </is>
      </c>
      <c r="E72" s="17" t="n">
        <v>-2948</v>
      </c>
      <c r="F72" s="14" t="n">
        <v>4.7</v>
      </c>
      <c r="G72" s="15" t="n">
        <v>-2.2</v>
      </c>
    </row>
    <row r="73">
      <c r="A73" s="10" t="inlineStr">
        <is>
          <t>코스피</t>
        </is>
      </c>
      <c r="B73" s="10" t="inlineStr">
        <is>
          <t>연기금등</t>
        </is>
      </c>
      <c r="C73" s="11" t="n">
        <v>46169</v>
      </c>
      <c r="D73" s="16" t="inlineStr">
        <is>
          <t>대량매도</t>
        </is>
      </c>
      <c r="E73" s="17" t="n">
        <v>-3930</v>
      </c>
      <c r="F73" s="14" t="n">
        <v>6.3</v>
      </c>
      <c r="G73" s="15" t="n">
        <v>-3.06</v>
      </c>
    </row>
    <row r="74">
      <c r="A74" s="10" t="inlineStr">
        <is>
          <t>코스피</t>
        </is>
      </c>
      <c r="B74" s="10" t="inlineStr">
        <is>
          <t>연기금등</t>
        </is>
      </c>
      <c r="C74" s="11" t="n">
        <v>46185</v>
      </c>
      <c r="D74" s="16" t="inlineStr">
        <is>
          <t>대량매도</t>
        </is>
      </c>
      <c r="E74" s="17" t="n">
        <v>-3248</v>
      </c>
      <c r="F74" s="14" t="n">
        <v>5.2</v>
      </c>
      <c r="G74" s="15" t="n">
        <v>-2.46</v>
      </c>
    </row>
    <row r="75">
      <c r="A75" s="10" t="inlineStr">
        <is>
          <t>코스피</t>
        </is>
      </c>
      <c r="B75" s="10" t="inlineStr">
        <is>
          <t>연기금등</t>
        </is>
      </c>
      <c r="C75" s="11" t="n">
        <v>46191</v>
      </c>
      <c r="D75" s="16" t="inlineStr">
        <is>
          <t>대량매도</t>
        </is>
      </c>
      <c r="E75" s="17" t="n">
        <v>-3921</v>
      </c>
      <c r="F75" s="14" t="n">
        <v>6.2</v>
      </c>
      <c r="G75" s="15" t="n">
        <v>-3.05</v>
      </c>
    </row>
    <row r="76">
      <c r="A76" s="10" t="inlineStr">
        <is>
          <t>코스피</t>
        </is>
      </c>
      <c r="B76" s="10" t="inlineStr">
        <is>
          <t>연기금등</t>
        </is>
      </c>
      <c r="C76" s="11" t="n">
        <v>46192</v>
      </c>
      <c r="D76" s="16" t="inlineStr">
        <is>
          <t>대량매도</t>
        </is>
      </c>
      <c r="E76" s="17" t="n">
        <v>-5267</v>
      </c>
      <c r="F76" s="14" t="n">
        <v>8.4</v>
      </c>
      <c r="G76" s="15" t="n">
        <v>-4.22</v>
      </c>
    </row>
    <row r="77">
      <c r="A77" s="10" t="inlineStr">
        <is>
          <t>코스피</t>
        </is>
      </c>
      <c r="B77" s="10" t="inlineStr">
        <is>
          <t>연기금등</t>
        </is>
      </c>
      <c r="C77" s="11" t="n">
        <v>46196</v>
      </c>
      <c r="D77" s="16" t="inlineStr">
        <is>
          <t>대량매도</t>
        </is>
      </c>
      <c r="E77" s="17" t="n">
        <v>-2937</v>
      </c>
      <c r="F77" s="14" t="n">
        <v>4.7</v>
      </c>
      <c r="G77" s="15" t="n">
        <v>-2.19</v>
      </c>
    </row>
    <row r="78">
      <c r="A78" s="10" t="inlineStr">
        <is>
          <t>코스피</t>
        </is>
      </c>
      <c r="B78" s="10" t="inlineStr">
        <is>
          <t>연기금등</t>
        </is>
      </c>
      <c r="C78" s="11" t="n">
        <v>46232</v>
      </c>
      <c r="D78" s="12" t="inlineStr">
        <is>
          <t>대량매수</t>
        </is>
      </c>
      <c r="E78" s="13" t="n">
        <v>3381</v>
      </c>
      <c r="F78" s="14" t="n">
        <v>5.4</v>
      </c>
      <c r="G78" s="15" t="n">
        <v>3.33</v>
      </c>
    </row>
    <row r="79">
      <c r="A79" s="10" t="inlineStr">
        <is>
          <t>코스피</t>
        </is>
      </c>
      <c r="B79" s="10" t="inlineStr">
        <is>
          <t>연기금등</t>
        </is>
      </c>
      <c r="C79" s="11" t="n">
        <v>46233</v>
      </c>
      <c r="D79" s="12" t="inlineStr">
        <is>
          <t>대량매수</t>
        </is>
      </c>
      <c r="E79" s="13" t="n">
        <v>3802</v>
      </c>
      <c r="F79" s="14" t="n">
        <v>6</v>
      </c>
      <c r="G79" s="15" t="n">
        <v>3.69</v>
      </c>
    </row>
    <row r="80">
      <c r="A80" s="10" t="inlineStr">
        <is>
          <t>코스피</t>
        </is>
      </c>
      <c r="B80" s="10" t="inlineStr">
        <is>
          <t>연기금등</t>
        </is>
      </c>
      <c r="C80" s="11" t="n">
        <v>46276</v>
      </c>
      <c r="D80" s="12" t="inlineStr">
        <is>
          <t>대량매수</t>
        </is>
      </c>
      <c r="E80" s="13" t="n">
        <v>2659</v>
      </c>
      <c r="F80" s="14" t="n">
        <v>4.2</v>
      </c>
      <c r="G80" s="15" t="n">
        <v>2.7</v>
      </c>
    </row>
    <row r="81">
      <c r="A81" s="10" t="inlineStr">
        <is>
          <t>코스피</t>
        </is>
      </c>
      <c r="B81" s="10" t="inlineStr">
        <is>
          <t>외국인</t>
        </is>
      </c>
      <c r="C81" s="11" t="n">
        <v>46080</v>
      </c>
      <c r="D81" s="16" t="inlineStr">
        <is>
          <t>대량매도</t>
        </is>
      </c>
      <c r="E81" s="17" t="n">
        <v>-70528</v>
      </c>
      <c r="F81" s="14" t="n">
        <v>6.5</v>
      </c>
      <c r="G81" s="15" t="n">
        <v>-2.9</v>
      </c>
    </row>
    <row r="82">
      <c r="A82" s="10" t="inlineStr">
        <is>
          <t>코스피</t>
        </is>
      </c>
      <c r="B82" s="10" t="inlineStr">
        <is>
          <t>외국인</t>
        </is>
      </c>
      <c r="C82" s="11" t="n">
        <v>46084</v>
      </c>
      <c r="D82" s="16" t="inlineStr">
        <is>
          <t>대량매도</t>
        </is>
      </c>
      <c r="E82" s="17" t="n">
        <v>-51487</v>
      </c>
      <c r="F82" s="14" t="n">
        <v>4.7</v>
      </c>
      <c r="G82" s="15" t="n">
        <v>-2.01</v>
      </c>
    </row>
    <row r="83">
      <c r="A83" s="10" t="inlineStr">
        <is>
          <t>코스피</t>
        </is>
      </c>
      <c r="B83" s="10" t="inlineStr">
        <is>
          <t>외국인</t>
        </is>
      </c>
      <c r="C83" s="11" t="n">
        <v>46149</v>
      </c>
      <c r="D83" s="16" t="inlineStr">
        <is>
          <t>대량매도</t>
        </is>
      </c>
      <c r="E83" s="17" t="n">
        <v>-66987</v>
      </c>
      <c r="F83" s="14" t="n">
        <v>6.1</v>
      </c>
      <c r="G83" s="15" t="n">
        <v>-2.74</v>
      </c>
    </row>
    <row r="84">
      <c r="A84" s="10" t="inlineStr">
        <is>
          <t>코스피</t>
        </is>
      </c>
      <c r="B84" s="10" t="inlineStr">
        <is>
          <t>외국인</t>
        </is>
      </c>
      <c r="C84" s="11" t="n">
        <v>46150</v>
      </c>
      <c r="D84" s="16" t="inlineStr">
        <is>
          <t>대량매도</t>
        </is>
      </c>
      <c r="E84" s="17" t="n">
        <v>-52967</v>
      </c>
      <c r="F84" s="14" t="n">
        <v>4.9</v>
      </c>
      <c r="G84" s="15" t="n">
        <v>-2.08</v>
      </c>
    </row>
    <row r="85">
      <c r="A85" s="10" t="inlineStr">
        <is>
          <t>코스피</t>
        </is>
      </c>
      <c r="B85" s="10" t="inlineStr">
        <is>
          <t>외국인</t>
        </is>
      </c>
      <c r="C85" s="11" t="n">
        <v>46154</v>
      </c>
      <c r="D85" s="16" t="inlineStr">
        <is>
          <t>대량매도</t>
        </is>
      </c>
      <c r="E85" s="17" t="n">
        <v>-56090</v>
      </c>
      <c r="F85" s="14" t="n">
        <v>5.1</v>
      </c>
      <c r="G85" s="15" t="n">
        <v>-2.22</v>
      </c>
    </row>
    <row r="86">
      <c r="A86" s="10" t="inlineStr">
        <is>
          <t>코스피</t>
        </is>
      </c>
      <c r="B86" s="10" t="inlineStr">
        <is>
          <t>외국인</t>
        </is>
      </c>
      <c r="C86" s="11" t="n">
        <v>46157</v>
      </c>
      <c r="D86" s="16" t="inlineStr">
        <is>
          <t>대량매도</t>
        </is>
      </c>
      <c r="E86" s="17" t="n">
        <v>-56040</v>
      </c>
      <c r="F86" s="14" t="n">
        <v>5.1</v>
      </c>
      <c r="G86" s="15" t="n">
        <v>-2.22</v>
      </c>
    </row>
    <row r="87">
      <c r="A87" s="10" t="inlineStr">
        <is>
          <t>코스피</t>
        </is>
      </c>
      <c r="B87" s="10" t="inlineStr">
        <is>
          <t>외국인</t>
        </is>
      </c>
      <c r="C87" s="11" t="n">
        <v>46161</v>
      </c>
      <c r="D87" s="16" t="inlineStr">
        <is>
          <t>대량매도</t>
        </is>
      </c>
      <c r="E87" s="17" t="n">
        <v>-57242</v>
      </c>
      <c r="F87" s="14" t="n">
        <v>5.3</v>
      </c>
      <c r="G87" s="15" t="n">
        <v>-2.28</v>
      </c>
    </row>
    <row r="88">
      <c r="A88" s="10" t="inlineStr">
        <is>
          <t>코스피</t>
        </is>
      </c>
      <c r="B88" s="10" t="inlineStr">
        <is>
          <t>외국인</t>
        </is>
      </c>
      <c r="C88" s="11" t="n">
        <v>46175</v>
      </c>
      <c r="D88" s="16" t="inlineStr">
        <is>
          <t>대량매도</t>
        </is>
      </c>
      <c r="E88" s="17" t="n">
        <v>-63035</v>
      </c>
      <c r="F88" s="14" t="n">
        <v>5.8</v>
      </c>
      <c r="G88" s="15" t="n">
        <v>-2.55</v>
      </c>
    </row>
    <row r="89">
      <c r="A89" s="10" t="inlineStr">
        <is>
          <t>코스피</t>
        </is>
      </c>
      <c r="B89" s="10" t="inlineStr">
        <is>
          <t>외국인</t>
        </is>
      </c>
      <c r="C89" s="11" t="n">
        <v>46177</v>
      </c>
      <c r="D89" s="16" t="inlineStr">
        <is>
          <t>대량매도</t>
        </is>
      </c>
      <c r="E89" s="17" t="n">
        <v>-66663</v>
      </c>
      <c r="F89" s="14" t="n">
        <v>6.1</v>
      </c>
      <c r="G89" s="15" t="n">
        <v>-2.72</v>
      </c>
    </row>
    <row r="90">
      <c r="A90" s="10" t="inlineStr">
        <is>
          <t>코스피</t>
        </is>
      </c>
      <c r="B90" s="10" t="inlineStr">
        <is>
          <t>외국인</t>
        </is>
      </c>
      <c r="C90" s="11" t="n">
        <v>46202</v>
      </c>
      <c r="D90" s="16" t="inlineStr">
        <is>
          <t>대량매도</t>
        </is>
      </c>
      <c r="E90" s="17" t="n">
        <v>-77332</v>
      </c>
      <c r="F90" s="14" t="n">
        <v>7.1</v>
      </c>
      <c r="G90" s="15" t="n">
        <v>-3.23</v>
      </c>
    </row>
    <row r="91">
      <c r="A91" s="10" t="inlineStr">
        <is>
          <t>코스피</t>
        </is>
      </c>
      <c r="B91" s="10" t="inlineStr">
        <is>
          <t>외국인</t>
        </is>
      </c>
      <c r="C91" s="11" t="n">
        <v>46234</v>
      </c>
      <c r="D91" s="12" t="inlineStr">
        <is>
          <t>대량매수</t>
        </is>
      </c>
      <c r="E91" s="13" t="n">
        <v>72410</v>
      </c>
      <c r="F91" s="14" t="n">
        <v>6.6</v>
      </c>
      <c r="G91" s="15" t="n">
        <v>3.84</v>
      </c>
    </row>
    <row r="92">
      <c r="A92" s="10" t="inlineStr">
        <is>
          <t>코스피</t>
        </is>
      </c>
      <c r="B92" s="10" t="inlineStr">
        <is>
          <t>투신(사모)</t>
        </is>
      </c>
      <c r="C92" s="11" t="n">
        <v>46168</v>
      </c>
      <c r="D92" s="12" t="inlineStr">
        <is>
          <t>대량매수</t>
        </is>
      </c>
      <c r="E92" s="13" t="n">
        <v>9984</v>
      </c>
      <c r="F92" s="14" t="n">
        <v>5</v>
      </c>
      <c r="G92" s="15" t="n">
        <v>2.13</v>
      </c>
    </row>
    <row r="93">
      <c r="A93" s="10" t="inlineStr">
        <is>
          <t>코스피</t>
        </is>
      </c>
      <c r="B93" s="10" t="inlineStr">
        <is>
          <t>투신(사모)</t>
        </is>
      </c>
      <c r="C93" s="11" t="n">
        <v>46185</v>
      </c>
      <c r="D93" s="12" t="inlineStr">
        <is>
          <t>대량매수</t>
        </is>
      </c>
      <c r="E93" s="13" t="n">
        <v>10141</v>
      </c>
      <c r="F93" s="14" t="n">
        <v>5.1</v>
      </c>
      <c r="G93" s="15" t="n">
        <v>2.16</v>
      </c>
    </row>
    <row r="94">
      <c r="A94" s="10" t="inlineStr">
        <is>
          <t>코스피</t>
        </is>
      </c>
      <c r="B94" s="10" t="inlineStr">
        <is>
          <t>투신(사모)</t>
        </is>
      </c>
      <c r="C94" s="11" t="n">
        <v>46196</v>
      </c>
      <c r="D94" s="16" t="inlineStr">
        <is>
          <t>대량매도</t>
        </is>
      </c>
      <c r="E94" s="17" t="n">
        <v>-19662</v>
      </c>
      <c r="F94" s="14" t="n">
        <v>9.800000000000001</v>
      </c>
      <c r="G94" s="15" t="n">
        <v>-3.85</v>
      </c>
    </row>
    <row r="95">
      <c r="A95" s="10" t="inlineStr">
        <is>
          <t>코스피</t>
        </is>
      </c>
      <c r="B95" s="10" t="inlineStr">
        <is>
          <t>투신(사모)</t>
        </is>
      </c>
      <c r="C95" s="11" t="n">
        <v>46198</v>
      </c>
      <c r="D95" s="12" t="inlineStr">
        <is>
          <t>대량매수</t>
        </is>
      </c>
      <c r="E95" s="13" t="n">
        <v>10293</v>
      </c>
      <c r="F95" s="14" t="n">
        <v>5.1</v>
      </c>
      <c r="G95" s="15" t="n">
        <v>2.19</v>
      </c>
    </row>
    <row r="96">
      <c r="A96" s="10" t="inlineStr">
        <is>
          <t>코스피</t>
        </is>
      </c>
      <c r="B96" s="10" t="inlineStr">
        <is>
          <t>투신(사모)</t>
        </is>
      </c>
      <c r="C96" s="11" t="n">
        <v>46199</v>
      </c>
      <c r="D96" s="16" t="inlineStr">
        <is>
          <t>대량매도</t>
        </is>
      </c>
      <c r="E96" s="17" t="n">
        <v>-20491</v>
      </c>
      <c r="F96" s="14" t="n">
        <v>10.2</v>
      </c>
      <c r="G96" s="15" t="n">
        <v>-4.02</v>
      </c>
    </row>
    <row r="97">
      <c r="A97" s="10" t="inlineStr">
        <is>
          <t>코스피</t>
        </is>
      </c>
      <c r="B97" s="10" t="inlineStr">
        <is>
          <t>투신(사모)</t>
        </is>
      </c>
      <c r="C97" s="11" t="n">
        <v>46203</v>
      </c>
      <c r="D97" s="12" t="inlineStr">
        <is>
          <t>대량매수</t>
        </is>
      </c>
      <c r="E97" s="13" t="n">
        <v>12623</v>
      </c>
      <c r="F97" s="14" t="n">
        <v>6.3</v>
      </c>
      <c r="G97" s="15" t="n">
        <v>2.66</v>
      </c>
    </row>
    <row r="98">
      <c r="A98" s="10" t="inlineStr">
        <is>
          <t>코스피</t>
        </is>
      </c>
      <c r="B98" s="10" t="inlineStr">
        <is>
          <t>투신(사모)</t>
        </is>
      </c>
      <c r="C98" s="11" t="n">
        <v>46205</v>
      </c>
      <c r="D98" s="16" t="inlineStr">
        <is>
          <t>대량매도</t>
        </is>
      </c>
      <c r="E98" s="17" t="n">
        <v>-17424</v>
      </c>
      <c r="F98" s="14" t="n">
        <v>8.699999999999999</v>
      </c>
      <c r="G98" s="15" t="n">
        <v>-3.4</v>
      </c>
    </row>
    <row r="99">
      <c r="A99" s="10" t="inlineStr">
        <is>
          <t>코스피</t>
        </is>
      </c>
      <c r="B99" s="10" t="inlineStr">
        <is>
          <t>투신(사모)</t>
        </is>
      </c>
      <c r="C99" s="11" t="n">
        <v>46206</v>
      </c>
      <c r="D99" s="12" t="inlineStr">
        <is>
          <t>대량매수</t>
        </is>
      </c>
      <c r="E99" s="13" t="n">
        <v>11761</v>
      </c>
      <c r="F99" s="14" t="n">
        <v>5.9</v>
      </c>
      <c r="G99" s="15" t="n">
        <v>2.48</v>
      </c>
    </row>
    <row r="100">
      <c r="A100" s="10" t="inlineStr">
        <is>
          <t>코스피</t>
        </is>
      </c>
      <c r="B100" s="10" t="inlineStr">
        <is>
          <t>투신(사모)</t>
        </is>
      </c>
      <c r="C100" s="11" t="n">
        <v>46216</v>
      </c>
      <c r="D100" s="16" t="inlineStr">
        <is>
          <t>대량매도</t>
        </is>
      </c>
      <c r="E100" s="17" t="n">
        <v>-21361</v>
      </c>
      <c r="F100" s="14" t="n">
        <v>10.7</v>
      </c>
      <c r="G100" s="15" t="n">
        <v>-4.2</v>
      </c>
    </row>
    <row r="101">
      <c r="A101" s="10" t="inlineStr">
        <is>
          <t>코스피</t>
        </is>
      </c>
      <c r="B101" s="10" t="inlineStr">
        <is>
          <t>투신(사모)</t>
        </is>
      </c>
      <c r="C101" s="11" t="n">
        <v>46217</v>
      </c>
      <c r="D101" s="12" t="inlineStr">
        <is>
          <t>대량매수</t>
        </is>
      </c>
      <c r="E101" s="13" t="n">
        <v>11264</v>
      </c>
      <c r="F101" s="14" t="n">
        <v>5.6</v>
      </c>
      <c r="G101" s="15" t="n">
        <v>2.38</v>
      </c>
    </row>
    <row r="102">
      <c r="A102" s="10" t="inlineStr">
        <is>
          <t>코스피</t>
        </is>
      </c>
      <c r="B102" s="10" t="inlineStr">
        <is>
          <t>투신(사모)</t>
        </is>
      </c>
      <c r="C102" s="11" t="n">
        <v>46218</v>
      </c>
      <c r="D102" s="12" t="inlineStr">
        <is>
          <t>대량매수</t>
        </is>
      </c>
      <c r="E102" s="13" t="n">
        <v>10538</v>
      </c>
      <c r="F102" s="14" t="n">
        <v>5.3</v>
      </c>
      <c r="G102" s="15" t="n">
        <v>2.24</v>
      </c>
    </row>
    <row r="103">
      <c r="A103" s="10" t="inlineStr">
        <is>
          <t>코스피</t>
        </is>
      </c>
      <c r="B103" s="10" t="inlineStr">
        <is>
          <t>투신(사모)</t>
        </is>
      </c>
      <c r="C103" s="11" t="n">
        <v>46226</v>
      </c>
      <c r="D103" s="12" t="inlineStr">
        <is>
          <t>대량매수</t>
        </is>
      </c>
      <c r="E103" s="13" t="n">
        <v>10118</v>
      </c>
      <c r="F103" s="14" t="n">
        <v>5.1</v>
      </c>
      <c r="G103" s="15" t="n">
        <v>2.15</v>
      </c>
    </row>
    <row r="104">
      <c r="A104" s="10" t="inlineStr">
        <is>
          <t>코스피</t>
        </is>
      </c>
      <c r="B104" s="10" t="inlineStr">
        <is>
          <t>투신(사모)</t>
        </is>
      </c>
      <c r="C104" s="11" t="n">
        <v>46234</v>
      </c>
      <c r="D104" s="12" t="inlineStr">
        <is>
          <t>대량매수</t>
        </is>
      </c>
      <c r="E104" s="13" t="n">
        <v>17194</v>
      </c>
      <c r="F104" s="14" t="n">
        <v>8.6</v>
      </c>
      <c r="G104" s="15" t="n">
        <v>3.58</v>
      </c>
    </row>
    <row r="105">
      <c r="A105" s="10" t="inlineStr">
        <is>
          <t>코스피</t>
        </is>
      </c>
      <c r="B105" s="10" t="inlineStr">
        <is>
          <t>투신(사모)</t>
        </is>
      </c>
      <c r="C105" s="11" t="n">
        <v>46254</v>
      </c>
      <c r="D105" s="12" t="inlineStr">
        <is>
          <t>대량매수</t>
        </is>
      </c>
      <c r="E105" s="13" t="n">
        <v>9702</v>
      </c>
      <c r="F105" s="14" t="n">
        <v>4.8</v>
      </c>
      <c r="G105" s="15" t="n">
        <v>2.07</v>
      </c>
    </row>
  </sheetData>
  <autoFilter ref="A3:G1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1" customWidth="1" min="13" max="13"/>
    <col width="11" customWidth="1" min="14" max="14"/>
    <col width="13" customWidth="1" min="15" max="15"/>
    <col width="11" customWidth="1" min="16" max="16"/>
    <col width="11" customWidth="1" min="17" max="17"/>
    <col width="13" customWidth="1" min="18" max="18"/>
    <col width="11" customWidth="1" min="19" max="19"/>
  </cols>
  <sheetData>
    <row r="1">
      <c r="A1" s="1" t="inlineStr">
        <is>
          <t>코스피 투자자별 일별 순매수 (단위: 억원)</t>
        </is>
      </c>
    </row>
    <row r="2">
      <c r="A2" s="2" t="inlineStr">
        <is>
          <t>파란 글씨 = 원본 시트 값(입력), 검정 = 수식. 기타법인은 2026-08-20 이후 평소의 약 30배로 급증(원인 미확인). 대량 판정 임계값은 '요약' 시트 C5에서 변경.</t>
        </is>
      </c>
    </row>
    <row r="3" ht="30" customHeight="1">
      <c r="A3" s="18" t="inlineStr">
        <is>
          <t>날짜</t>
        </is>
      </c>
      <c r="B3" s="18" t="inlineStr">
        <is>
          <t>개인</t>
        </is>
      </c>
      <c r="C3" s="18" t="inlineStr">
        <is>
          <t>외국인</t>
        </is>
      </c>
      <c r="D3" s="18" t="inlineStr">
        <is>
          <t>기관계</t>
        </is>
      </c>
      <c r="E3" s="18" t="inlineStr">
        <is>
          <t>금융투자</t>
        </is>
      </c>
      <c r="F3" s="18" t="inlineStr">
        <is>
          <t>보험</t>
        </is>
      </c>
      <c r="G3" s="18" t="inlineStr">
        <is>
          <t>투신(사모)</t>
        </is>
      </c>
      <c r="H3" s="18" t="inlineStr">
        <is>
          <t>은행</t>
        </is>
      </c>
      <c r="I3" s="18" t="inlineStr">
        <is>
          <t>기타금융기관</t>
        </is>
      </c>
      <c r="J3" s="18" t="inlineStr">
        <is>
          <t>연기금등</t>
        </is>
      </c>
      <c r="K3" s="18" t="inlineStr">
        <is>
          <t>기타법인</t>
        </is>
      </c>
      <c r="L3" s="18" t="inlineStr">
        <is>
          <t>외국인 |값|</t>
        </is>
      </c>
      <c r="M3" s="18" t="inlineStr">
        <is>
          <t>기관계 |값|</t>
        </is>
      </c>
      <c r="N3" s="18" t="inlineStr">
        <is>
          <t>외국인 z점수</t>
        </is>
      </c>
      <c r="O3" s="18" t="inlineStr">
        <is>
          <t>외국인 평소대비(배)</t>
        </is>
      </c>
      <c r="P3" s="18" t="inlineStr">
        <is>
          <t>외국인 구분</t>
        </is>
      </c>
      <c r="Q3" s="18" t="inlineStr">
        <is>
          <t>기관계 z점수</t>
        </is>
      </c>
      <c r="R3" s="18" t="inlineStr">
        <is>
          <t>기관계 평소대비(배)</t>
        </is>
      </c>
      <c r="S3" s="18" t="inlineStr">
        <is>
          <t>기관계 구분</t>
        </is>
      </c>
    </row>
    <row r="4">
      <c r="A4" s="19" t="n">
        <v>46297</v>
      </c>
      <c r="B4" s="20" t="n">
        <v>-17335</v>
      </c>
      <c r="C4" s="20" t="n">
        <v>-1281</v>
      </c>
      <c r="D4" s="20" t="n">
        <v>3788</v>
      </c>
      <c r="E4" s="20" t="n">
        <v>4086</v>
      </c>
      <c r="F4" s="20" t="n">
        <v>-58</v>
      </c>
      <c r="G4" s="20" t="n">
        <v>-980</v>
      </c>
      <c r="H4" s="20" t="n">
        <v>12</v>
      </c>
      <c r="I4" s="20" t="n">
        <v>156</v>
      </c>
      <c r="J4" s="20" t="n">
        <v>572</v>
      </c>
      <c r="K4" s="20" t="n">
        <v>14828</v>
      </c>
      <c r="L4" s="21">
        <f>ABS(C4)</f>
        <v/>
      </c>
      <c r="M4" s="21">
        <f>ABS(D4)</f>
        <v/>
      </c>
      <c r="N4" s="22">
        <f>(C4-AVERAGE(C$4:C$213))/STDEVP(C$4:C$213)</f>
        <v/>
      </c>
      <c r="O4" s="23">
        <f>L4/MEDIAN(L$4:L$213)</f>
        <v/>
      </c>
      <c r="P4" s="24">
        <f>IF(N4&gt;=요약!$C$5,"대량매수",IF(N4&lt;=-요약!$C$5,"대량매도",""))</f>
        <v/>
      </c>
      <c r="Q4" s="22">
        <f>(D4-AVERAGE(D$4:D$213))/STDEVP(D$4:D$213)</f>
        <v/>
      </c>
      <c r="R4" s="23">
        <f>M4/MEDIAN(M$4:M$213)</f>
        <v/>
      </c>
      <c r="S4" s="24">
        <f>IF(Q4&gt;=요약!$C$5,"대량매수",IF(Q4&lt;=-요약!$C$5,"대량매도",""))</f>
        <v/>
      </c>
    </row>
    <row r="5">
      <c r="A5" s="19" t="n">
        <v>46296</v>
      </c>
      <c r="B5" s="20" t="n">
        <v>-14102</v>
      </c>
      <c r="C5" s="20" t="n">
        <v>-5558</v>
      </c>
      <c r="D5" s="20" t="n">
        <v>3239</v>
      </c>
      <c r="E5" s="20" t="n">
        <v>1031</v>
      </c>
      <c r="F5" s="20" t="n">
        <v>380</v>
      </c>
      <c r="G5" s="20" t="n">
        <v>1409</v>
      </c>
      <c r="H5" s="20" t="n">
        <v>16</v>
      </c>
      <c r="I5" s="20" t="n">
        <v>170</v>
      </c>
      <c r="J5" s="20" t="n">
        <v>233</v>
      </c>
      <c r="K5" s="20" t="n">
        <v>16422</v>
      </c>
      <c r="L5" s="21">
        <f>ABS(C5)</f>
        <v/>
      </c>
      <c r="M5" s="21">
        <f>ABS(D5)</f>
        <v/>
      </c>
      <c r="N5" s="22">
        <f>(C5-AVERAGE(C$4:C$213))/STDEVP(C$4:C$213)</f>
        <v/>
      </c>
      <c r="O5" s="23">
        <f>L5/MEDIAN(L$4:L$213)</f>
        <v/>
      </c>
      <c r="P5" s="24">
        <f>IF(N5&gt;=요약!$C$5,"대량매수",IF(N5&lt;=-요약!$C$5,"대량매도",""))</f>
        <v/>
      </c>
      <c r="Q5" s="22">
        <f>(D5-AVERAGE(D$4:D$213))/STDEVP(D$4:D$213)</f>
        <v/>
      </c>
      <c r="R5" s="23">
        <f>M5/MEDIAN(M$4:M$213)</f>
        <v/>
      </c>
      <c r="S5" s="24">
        <f>IF(Q5&gt;=요약!$C$5,"대량매수",IF(Q5&lt;=-요약!$C$5,"대량매도",""))</f>
        <v/>
      </c>
    </row>
    <row r="6">
      <c r="A6" s="19" t="n">
        <v>46295</v>
      </c>
      <c r="B6" s="20" t="n">
        <v>12109</v>
      </c>
      <c r="C6" s="20" t="n">
        <v>-20646</v>
      </c>
      <c r="D6" s="20" t="n">
        <v>-7993</v>
      </c>
      <c r="E6" s="20" t="n">
        <v>-8108</v>
      </c>
      <c r="F6" s="20" t="n">
        <v>16</v>
      </c>
      <c r="G6" s="20" t="n">
        <v>135</v>
      </c>
      <c r="H6" s="20" t="n">
        <v>3</v>
      </c>
      <c r="I6" s="20" t="n">
        <v>144</v>
      </c>
      <c r="J6" s="20" t="n">
        <v>-183</v>
      </c>
      <c r="K6" s="20" t="n">
        <v>16529</v>
      </c>
      <c r="L6" s="21">
        <f>ABS(C6)</f>
        <v/>
      </c>
      <c r="M6" s="21">
        <f>ABS(D6)</f>
        <v/>
      </c>
      <c r="N6" s="22">
        <f>(C6-AVERAGE(C$4:C$213))/STDEVP(C$4:C$213)</f>
        <v/>
      </c>
      <c r="O6" s="23">
        <f>L6/MEDIAN(L$4:L$213)</f>
        <v/>
      </c>
      <c r="P6" s="24">
        <f>IF(N6&gt;=요약!$C$5,"대량매수",IF(N6&lt;=-요약!$C$5,"대량매도",""))</f>
        <v/>
      </c>
      <c r="Q6" s="22">
        <f>(D6-AVERAGE(D$4:D$213))/STDEVP(D$4:D$213)</f>
        <v/>
      </c>
      <c r="R6" s="23">
        <f>M6/MEDIAN(M$4:M$213)</f>
        <v/>
      </c>
      <c r="S6" s="24">
        <f>IF(Q6&gt;=요약!$C$5,"대량매수",IF(Q6&lt;=-요약!$C$5,"대량매도",""))</f>
        <v/>
      </c>
    </row>
    <row r="7">
      <c r="A7" s="19" t="n">
        <v>46294</v>
      </c>
      <c r="B7" s="20" t="n">
        <v>12447</v>
      </c>
      <c r="C7" s="20" t="n">
        <v>-29922</v>
      </c>
      <c r="D7" s="20" t="n">
        <v>1041</v>
      </c>
      <c r="E7" s="20" t="n">
        <v>179</v>
      </c>
      <c r="F7" s="20" t="n">
        <v>-153</v>
      </c>
      <c r="G7" s="20" t="n">
        <v>1238</v>
      </c>
      <c r="H7" s="20" t="n">
        <v>-24</v>
      </c>
      <c r="I7" s="20" t="n">
        <v>159</v>
      </c>
      <c r="J7" s="20" t="n">
        <v>-358</v>
      </c>
      <c r="K7" s="20" t="n">
        <v>16434</v>
      </c>
      <c r="L7" s="21">
        <f>ABS(C7)</f>
        <v/>
      </c>
      <c r="M7" s="21">
        <f>ABS(D7)</f>
        <v/>
      </c>
      <c r="N7" s="22">
        <f>(C7-AVERAGE(C$4:C$213))/STDEVP(C$4:C$213)</f>
        <v/>
      </c>
      <c r="O7" s="23">
        <f>L7/MEDIAN(L$4:L$213)</f>
        <v/>
      </c>
      <c r="P7" s="24">
        <f>IF(N7&gt;=요약!$C$5,"대량매수",IF(N7&lt;=-요약!$C$5,"대량매도",""))</f>
        <v/>
      </c>
      <c r="Q7" s="22">
        <f>(D7-AVERAGE(D$4:D$213))/STDEVP(D$4:D$213)</f>
        <v/>
      </c>
      <c r="R7" s="23">
        <f>M7/MEDIAN(M$4:M$213)</f>
        <v/>
      </c>
      <c r="S7" s="24">
        <f>IF(Q7&gt;=요약!$C$5,"대량매수",IF(Q7&lt;=-요약!$C$5,"대량매도",""))</f>
        <v/>
      </c>
    </row>
    <row r="8">
      <c r="A8" s="19" t="n">
        <v>46293</v>
      </c>
      <c r="B8" s="20" t="n">
        <v>26467</v>
      </c>
      <c r="C8" s="20" t="n">
        <v>-32682</v>
      </c>
      <c r="D8" s="20" t="n">
        <v>-10169</v>
      </c>
      <c r="E8" s="20" t="n">
        <v>-1403</v>
      </c>
      <c r="F8" s="20" t="n">
        <v>-312</v>
      </c>
      <c r="G8" s="20" t="n">
        <v>-6759</v>
      </c>
      <c r="H8" s="20" t="n">
        <v>-23</v>
      </c>
      <c r="I8" s="20" t="n">
        <v>149</v>
      </c>
      <c r="J8" s="20" t="n">
        <v>-1821</v>
      </c>
      <c r="K8" s="20" t="n">
        <v>16384</v>
      </c>
      <c r="L8" s="21">
        <f>ABS(C8)</f>
        <v/>
      </c>
      <c r="M8" s="21">
        <f>ABS(D8)</f>
        <v/>
      </c>
      <c r="N8" s="22">
        <f>(C8-AVERAGE(C$4:C$213))/STDEVP(C$4:C$213)</f>
        <v/>
      </c>
      <c r="O8" s="23">
        <f>L8/MEDIAN(L$4:L$213)</f>
        <v/>
      </c>
      <c r="P8" s="24">
        <f>IF(N8&gt;=요약!$C$5,"대량매수",IF(N8&lt;=-요약!$C$5,"대량매도",""))</f>
        <v/>
      </c>
      <c r="Q8" s="22">
        <f>(D8-AVERAGE(D$4:D$213))/STDEVP(D$4:D$213)</f>
        <v/>
      </c>
      <c r="R8" s="23">
        <f>M8/MEDIAN(M$4:M$213)</f>
        <v/>
      </c>
      <c r="S8" s="24">
        <f>IF(Q8&gt;=요약!$C$5,"대량매수",IF(Q8&lt;=-요약!$C$5,"대량매도",""))</f>
        <v/>
      </c>
    </row>
    <row r="9">
      <c r="A9" s="19" t="n">
        <v>46288</v>
      </c>
      <c r="B9" s="20" t="n">
        <v>-14649</v>
      </c>
      <c r="C9" s="20" t="n">
        <v>-4942</v>
      </c>
      <c r="D9" s="20" t="n">
        <v>3189</v>
      </c>
      <c r="E9" s="20" t="n">
        <v>3778</v>
      </c>
      <c r="F9" s="20" t="n">
        <v>77</v>
      </c>
      <c r="G9" s="20" t="n">
        <v>-1378</v>
      </c>
      <c r="H9" s="20" t="n">
        <v>-2</v>
      </c>
      <c r="I9" s="20" t="n">
        <v>135</v>
      </c>
      <c r="J9" s="20" t="n">
        <v>579</v>
      </c>
      <c r="K9" s="20" t="n">
        <v>16403</v>
      </c>
      <c r="L9" s="21">
        <f>ABS(C9)</f>
        <v/>
      </c>
      <c r="M9" s="21">
        <f>ABS(D9)</f>
        <v/>
      </c>
      <c r="N9" s="22">
        <f>(C9-AVERAGE(C$4:C$213))/STDEVP(C$4:C$213)</f>
        <v/>
      </c>
      <c r="O9" s="23">
        <f>L9/MEDIAN(L$4:L$213)</f>
        <v/>
      </c>
      <c r="P9" s="24">
        <f>IF(N9&gt;=요약!$C$5,"대량매수",IF(N9&lt;=-요약!$C$5,"대량매도",""))</f>
        <v/>
      </c>
      <c r="Q9" s="22">
        <f>(D9-AVERAGE(D$4:D$213))/STDEVP(D$4:D$213)</f>
        <v/>
      </c>
      <c r="R9" s="23">
        <f>M9/MEDIAN(M$4:M$213)</f>
        <v/>
      </c>
      <c r="S9" s="24">
        <f>IF(Q9&gt;=요약!$C$5,"대량매수",IF(Q9&lt;=-요약!$C$5,"대량매도",""))</f>
        <v/>
      </c>
    </row>
    <row r="10">
      <c r="A10" s="19" t="n">
        <v>46287</v>
      </c>
      <c r="B10" s="20" t="n">
        <v>-15643</v>
      </c>
      <c r="C10" s="20" t="n">
        <v>494</v>
      </c>
      <c r="D10" s="20" t="n">
        <v>-1295</v>
      </c>
      <c r="E10" s="20" t="n">
        <v>2030</v>
      </c>
      <c r="F10" s="20" t="n">
        <v>42</v>
      </c>
      <c r="G10" s="20" t="n">
        <v>-1008</v>
      </c>
      <c r="H10" s="20" t="n">
        <v>42</v>
      </c>
      <c r="I10" s="20" t="n">
        <v>187</v>
      </c>
      <c r="J10" s="20" t="n">
        <v>-2589</v>
      </c>
      <c r="K10" s="20" t="n">
        <v>16443</v>
      </c>
      <c r="L10" s="21">
        <f>ABS(C10)</f>
        <v/>
      </c>
      <c r="M10" s="21">
        <f>ABS(D10)</f>
        <v/>
      </c>
      <c r="N10" s="22">
        <f>(C10-AVERAGE(C$4:C$213))/STDEVP(C$4:C$213)</f>
        <v/>
      </c>
      <c r="O10" s="23">
        <f>L10/MEDIAN(L$4:L$213)</f>
        <v/>
      </c>
      <c r="P10" s="24">
        <f>IF(N10&gt;=요약!$C$5,"대량매수",IF(N10&lt;=-요약!$C$5,"대량매도",""))</f>
        <v/>
      </c>
      <c r="Q10" s="22">
        <f>(D10-AVERAGE(D$4:D$213))/STDEVP(D$4:D$213)</f>
        <v/>
      </c>
      <c r="R10" s="23">
        <f>M10/MEDIAN(M$4:M$213)</f>
        <v/>
      </c>
      <c r="S10" s="24">
        <f>IF(Q10&gt;=요약!$C$5,"대량매수",IF(Q10&lt;=-요약!$C$5,"대량매도",""))</f>
        <v/>
      </c>
    </row>
    <row r="11">
      <c r="A11" s="19" t="n">
        <v>46286</v>
      </c>
      <c r="B11" s="20" t="n">
        <v>-31850</v>
      </c>
      <c r="C11" s="20" t="n">
        <v>117</v>
      </c>
      <c r="D11" s="20" t="n">
        <v>15162</v>
      </c>
      <c r="E11" s="20" t="n">
        <v>12694</v>
      </c>
      <c r="F11" s="20" t="n">
        <v>-49</v>
      </c>
      <c r="G11" s="20" t="n">
        <v>2913</v>
      </c>
      <c r="H11" s="20" t="n">
        <v>27</v>
      </c>
      <c r="I11" s="20" t="n">
        <v>205</v>
      </c>
      <c r="J11" s="20" t="n">
        <v>-630</v>
      </c>
      <c r="K11" s="20" t="n">
        <v>16572</v>
      </c>
      <c r="L11" s="21">
        <f>ABS(C11)</f>
        <v/>
      </c>
      <c r="M11" s="21">
        <f>ABS(D11)</f>
        <v/>
      </c>
      <c r="N11" s="22">
        <f>(C11-AVERAGE(C$4:C$213))/STDEVP(C$4:C$213)</f>
        <v/>
      </c>
      <c r="O11" s="23">
        <f>L11/MEDIAN(L$4:L$213)</f>
        <v/>
      </c>
      <c r="P11" s="24">
        <f>IF(N11&gt;=요약!$C$5,"대량매수",IF(N11&lt;=-요약!$C$5,"대량매도",""))</f>
        <v/>
      </c>
      <c r="Q11" s="22">
        <f>(D11-AVERAGE(D$4:D$213))/STDEVP(D$4:D$213)</f>
        <v/>
      </c>
      <c r="R11" s="23">
        <f>M11/MEDIAN(M$4:M$213)</f>
        <v/>
      </c>
      <c r="S11" s="24">
        <f>IF(Q11&gt;=요약!$C$5,"대량매수",IF(Q11&lt;=-요약!$C$5,"대량매도",""))</f>
        <v/>
      </c>
    </row>
    <row r="12">
      <c r="A12" s="19" t="n">
        <v>46283</v>
      </c>
      <c r="B12" s="20" t="n">
        <v>-36359</v>
      </c>
      <c r="C12" s="20" t="n">
        <v>4486</v>
      </c>
      <c r="D12" s="20" t="n">
        <v>15322</v>
      </c>
      <c r="E12" s="20" t="n">
        <v>12193</v>
      </c>
      <c r="F12" s="20" t="n">
        <v>-190</v>
      </c>
      <c r="G12" s="20" t="n">
        <v>2072</v>
      </c>
      <c r="H12" s="20" t="n">
        <v>61</v>
      </c>
      <c r="I12" s="20" t="n">
        <v>218</v>
      </c>
      <c r="J12" s="20" t="n">
        <v>966</v>
      </c>
      <c r="K12" s="20" t="n">
        <v>16551</v>
      </c>
      <c r="L12" s="21">
        <f>ABS(C12)</f>
        <v/>
      </c>
      <c r="M12" s="21">
        <f>ABS(D12)</f>
        <v/>
      </c>
      <c r="N12" s="22">
        <f>(C12-AVERAGE(C$4:C$213))/STDEVP(C$4:C$213)</f>
        <v/>
      </c>
      <c r="O12" s="23">
        <f>L12/MEDIAN(L$4:L$213)</f>
        <v/>
      </c>
      <c r="P12" s="24">
        <f>IF(N12&gt;=요약!$C$5,"대량매수",IF(N12&lt;=-요약!$C$5,"대량매도",""))</f>
        <v/>
      </c>
      <c r="Q12" s="22">
        <f>(D12-AVERAGE(D$4:D$213))/STDEVP(D$4:D$213)</f>
        <v/>
      </c>
      <c r="R12" s="23">
        <f>M12/MEDIAN(M$4:M$213)</f>
        <v/>
      </c>
      <c r="S12" s="24">
        <f>IF(Q12&gt;=요약!$C$5,"대량매수",IF(Q12&lt;=-요약!$C$5,"대량매도",""))</f>
        <v/>
      </c>
    </row>
    <row r="13">
      <c r="A13" s="19" t="n">
        <v>46282</v>
      </c>
      <c r="B13" s="20" t="n">
        <v>3020</v>
      </c>
      <c r="C13" s="20" t="n">
        <v>-22546</v>
      </c>
      <c r="D13" s="20" t="n">
        <v>2480</v>
      </c>
      <c r="E13" s="20" t="n">
        <v>4039</v>
      </c>
      <c r="F13" s="20" t="n">
        <v>-301</v>
      </c>
      <c r="G13" s="20" t="n">
        <v>-1075</v>
      </c>
      <c r="H13" s="20" t="n">
        <v>12</v>
      </c>
      <c r="I13" s="20" t="n">
        <v>287</v>
      </c>
      <c r="J13" s="20" t="n">
        <v>-482</v>
      </c>
      <c r="K13" s="20" t="n">
        <v>17046</v>
      </c>
      <c r="L13" s="21">
        <f>ABS(C13)</f>
        <v/>
      </c>
      <c r="M13" s="21">
        <f>ABS(D13)</f>
        <v/>
      </c>
      <c r="N13" s="22">
        <f>(C13-AVERAGE(C$4:C$213))/STDEVP(C$4:C$213)</f>
        <v/>
      </c>
      <c r="O13" s="23">
        <f>L13/MEDIAN(L$4:L$213)</f>
        <v/>
      </c>
      <c r="P13" s="24">
        <f>IF(N13&gt;=요약!$C$5,"대량매수",IF(N13&lt;=-요약!$C$5,"대량매도",""))</f>
        <v/>
      </c>
      <c r="Q13" s="22">
        <f>(D13-AVERAGE(D$4:D$213))/STDEVP(D$4:D$213)</f>
        <v/>
      </c>
      <c r="R13" s="23">
        <f>M13/MEDIAN(M$4:M$213)</f>
        <v/>
      </c>
      <c r="S13" s="24">
        <f>IF(Q13&gt;=요약!$C$5,"대량매수",IF(Q13&lt;=-요약!$C$5,"대량매도",""))</f>
        <v/>
      </c>
    </row>
    <row r="14">
      <c r="A14" s="19" t="n">
        <v>46281</v>
      </c>
      <c r="B14" s="20" t="n">
        <v>-12061</v>
      </c>
      <c r="C14" s="20" t="n">
        <v>-16726</v>
      </c>
      <c r="D14" s="20" t="n">
        <v>12251</v>
      </c>
      <c r="E14" s="20" t="n">
        <v>7742</v>
      </c>
      <c r="F14" s="20" t="n">
        <v>171</v>
      </c>
      <c r="G14" s="20" t="n">
        <v>2470</v>
      </c>
      <c r="H14" s="20" t="n">
        <v>-63</v>
      </c>
      <c r="I14" s="20" t="n">
        <v>197</v>
      </c>
      <c r="J14" s="20" t="n">
        <v>1734</v>
      </c>
      <c r="K14" s="20" t="n">
        <v>16536</v>
      </c>
      <c r="L14" s="21">
        <f>ABS(C14)</f>
        <v/>
      </c>
      <c r="M14" s="21">
        <f>ABS(D14)</f>
        <v/>
      </c>
      <c r="N14" s="22">
        <f>(C14-AVERAGE(C$4:C$213))/STDEVP(C$4:C$213)</f>
        <v/>
      </c>
      <c r="O14" s="23">
        <f>L14/MEDIAN(L$4:L$213)</f>
        <v/>
      </c>
      <c r="P14" s="24">
        <f>IF(N14&gt;=요약!$C$5,"대량매수",IF(N14&lt;=-요약!$C$5,"대량매도",""))</f>
        <v/>
      </c>
      <c r="Q14" s="22">
        <f>(D14-AVERAGE(D$4:D$213))/STDEVP(D$4:D$213)</f>
        <v/>
      </c>
      <c r="R14" s="23">
        <f>M14/MEDIAN(M$4:M$213)</f>
        <v/>
      </c>
      <c r="S14" s="24">
        <f>IF(Q14&gt;=요약!$C$5,"대량매수",IF(Q14&lt;=-요약!$C$5,"대량매도",""))</f>
        <v/>
      </c>
    </row>
    <row r="15">
      <c r="A15" s="19" t="n">
        <v>46280</v>
      </c>
      <c r="B15" s="20" t="n">
        <v>8596</v>
      </c>
      <c r="C15" s="20" t="n">
        <v>-15458</v>
      </c>
      <c r="D15" s="20" t="n">
        <v>-9585</v>
      </c>
      <c r="E15" s="20" t="n">
        <v>-6605</v>
      </c>
      <c r="F15" s="20" t="n">
        <v>101</v>
      </c>
      <c r="G15" s="20" t="n">
        <v>-3510</v>
      </c>
      <c r="H15" s="20" t="n">
        <v>113</v>
      </c>
      <c r="I15" s="20" t="n">
        <v>204</v>
      </c>
      <c r="J15" s="20" t="n">
        <v>114</v>
      </c>
      <c r="K15" s="20" t="n">
        <v>16447</v>
      </c>
      <c r="L15" s="21">
        <f>ABS(C15)</f>
        <v/>
      </c>
      <c r="M15" s="21">
        <f>ABS(D15)</f>
        <v/>
      </c>
      <c r="N15" s="22">
        <f>(C15-AVERAGE(C$4:C$213))/STDEVP(C$4:C$213)</f>
        <v/>
      </c>
      <c r="O15" s="23">
        <f>L15/MEDIAN(L$4:L$213)</f>
        <v/>
      </c>
      <c r="P15" s="24">
        <f>IF(N15&gt;=요약!$C$5,"대량매수",IF(N15&lt;=-요약!$C$5,"대량매도",""))</f>
        <v/>
      </c>
      <c r="Q15" s="22">
        <f>(D15-AVERAGE(D$4:D$213))/STDEVP(D$4:D$213)</f>
        <v/>
      </c>
      <c r="R15" s="23">
        <f>M15/MEDIAN(M$4:M$213)</f>
        <v/>
      </c>
      <c r="S15" s="24">
        <f>IF(Q15&gt;=요약!$C$5,"대량매수",IF(Q15&lt;=-요약!$C$5,"대량매도",""))</f>
        <v/>
      </c>
    </row>
    <row r="16">
      <c r="A16" s="19" t="n">
        <v>46279</v>
      </c>
      <c r="B16" s="20" t="n">
        <v>30351</v>
      </c>
      <c r="C16" s="20" t="n">
        <v>-33363</v>
      </c>
      <c r="D16" s="20" t="n">
        <v>-11869</v>
      </c>
      <c r="E16" s="20" t="n">
        <v>-5524</v>
      </c>
      <c r="F16" s="20" t="n">
        <v>259</v>
      </c>
      <c r="G16" s="20" t="n">
        <v>-6105</v>
      </c>
      <c r="H16" s="20" t="n">
        <v>9</v>
      </c>
      <c r="I16" s="20" t="n">
        <v>195</v>
      </c>
      <c r="J16" s="20" t="n">
        <v>-703</v>
      </c>
      <c r="K16" s="20" t="n">
        <v>14880</v>
      </c>
      <c r="L16" s="21">
        <f>ABS(C16)</f>
        <v/>
      </c>
      <c r="M16" s="21">
        <f>ABS(D16)</f>
        <v/>
      </c>
      <c r="N16" s="22">
        <f>(C16-AVERAGE(C$4:C$213))/STDEVP(C$4:C$213)</f>
        <v/>
      </c>
      <c r="O16" s="23">
        <f>L16/MEDIAN(L$4:L$213)</f>
        <v/>
      </c>
      <c r="P16" s="24">
        <f>IF(N16&gt;=요약!$C$5,"대량매수",IF(N16&lt;=-요약!$C$5,"대량매도",""))</f>
        <v/>
      </c>
      <c r="Q16" s="22">
        <f>(D16-AVERAGE(D$4:D$213))/STDEVP(D$4:D$213)</f>
        <v/>
      </c>
      <c r="R16" s="23">
        <f>M16/MEDIAN(M$4:M$213)</f>
        <v/>
      </c>
      <c r="S16" s="24">
        <f>IF(Q16&gt;=요약!$C$5,"대량매수",IF(Q16&lt;=-요약!$C$5,"대량매도",""))</f>
        <v/>
      </c>
    </row>
    <row r="17">
      <c r="A17" s="19" t="n">
        <v>46276</v>
      </c>
      <c r="B17" s="20" t="n">
        <v>18675</v>
      </c>
      <c r="C17" s="20" t="n">
        <v>-22984</v>
      </c>
      <c r="D17" s="20" t="n">
        <v>-12184</v>
      </c>
      <c r="E17" s="20" t="n">
        <v>-10345</v>
      </c>
      <c r="F17" s="20" t="n">
        <v>-17</v>
      </c>
      <c r="G17" s="20" t="n">
        <v>-4703</v>
      </c>
      <c r="H17" s="20" t="n">
        <v>7</v>
      </c>
      <c r="I17" s="20" t="n">
        <v>216</v>
      </c>
      <c r="J17" s="20" t="n">
        <v>2659</v>
      </c>
      <c r="K17" s="20" t="n">
        <v>16493</v>
      </c>
      <c r="L17" s="21">
        <f>ABS(C17)</f>
        <v/>
      </c>
      <c r="M17" s="21">
        <f>ABS(D17)</f>
        <v/>
      </c>
      <c r="N17" s="22">
        <f>(C17-AVERAGE(C$4:C$213))/STDEVP(C$4:C$213)</f>
        <v/>
      </c>
      <c r="O17" s="23">
        <f>L17/MEDIAN(L$4:L$213)</f>
        <v/>
      </c>
      <c r="P17" s="24">
        <f>IF(N17&gt;=요약!$C$5,"대량매수",IF(N17&lt;=-요약!$C$5,"대량매도",""))</f>
        <v/>
      </c>
      <c r="Q17" s="22">
        <f>(D17-AVERAGE(D$4:D$213))/STDEVP(D$4:D$213)</f>
        <v/>
      </c>
      <c r="R17" s="23">
        <f>M17/MEDIAN(M$4:M$213)</f>
        <v/>
      </c>
      <c r="S17" s="24">
        <f>IF(Q17&gt;=요약!$C$5,"대량매수",IF(Q17&lt;=-요약!$C$5,"대량매도",""))</f>
        <v/>
      </c>
    </row>
    <row r="18">
      <c r="A18" s="19" t="n">
        <v>46275</v>
      </c>
      <c r="B18" s="20" t="n">
        <v>3802</v>
      </c>
      <c r="C18" s="20" t="n">
        <v>-26217</v>
      </c>
      <c r="D18" s="20" t="n">
        <v>5744</v>
      </c>
      <c r="E18" s="20" t="n">
        <v>11628</v>
      </c>
      <c r="F18" s="20" t="n">
        <v>155</v>
      </c>
      <c r="G18" s="20" t="n">
        <v>-4803</v>
      </c>
      <c r="H18" s="20" t="n">
        <v>24</v>
      </c>
      <c r="I18" s="20" t="n">
        <v>184</v>
      </c>
      <c r="J18" s="20" t="n">
        <v>-1444</v>
      </c>
      <c r="K18" s="20" t="n">
        <v>16671</v>
      </c>
      <c r="L18" s="21">
        <f>ABS(C18)</f>
        <v/>
      </c>
      <c r="M18" s="21">
        <f>ABS(D18)</f>
        <v/>
      </c>
      <c r="N18" s="22">
        <f>(C18-AVERAGE(C$4:C$213))/STDEVP(C$4:C$213)</f>
        <v/>
      </c>
      <c r="O18" s="23">
        <f>L18/MEDIAN(L$4:L$213)</f>
        <v/>
      </c>
      <c r="P18" s="24">
        <f>IF(N18&gt;=요약!$C$5,"대량매수",IF(N18&lt;=-요약!$C$5,"대량매도",""))</f>
        <v/>
      </c>
      <c r="Q18" s="22">
        <f>(D18-AVERAGE(D$4:D$213))/STDEVP(D$4:D$213)</f>
        <v/>
      </c>
      <c r="R18" s="23">
        <f>M18/MEDIAN(M$4:M$213)</f>
        <v/>
      </c>
      <c r="S18" s="24">
        <f>IF(Q18&gt;=요약!$C$5,"대량매수",IF(Q18&lt;=-요약!$C$5,"대량매도",""))</f>
        <v/>
      </c>
    </row>
    <row r="19">
      <c r="A19" s="19" t="n">
        <v>46274</v>
      </c>
      <c r="B19" s="20" t="n">
        <v>-22879</v>
      </c>
      <c r="C19" s="20" t="n">
        <v>-4348</v>
      </c>
      <c r="D19" s="20" t="n">
        <v>9422</v>
      </c>
      <c r="E19" s="20" t="n">
        <v>7347</v>
      </c>
      <c r="F19" s="20" t="n">
        <v>78</v>
      </c>
      <c r="G19" s="20" t="n">
        <v>2463</v>
      </c>
      <c r="H19" s="20" t="n">
        <v>-112</v>
      </c>
      <c r="I19" s="20" t="n">
        <v>58</v>
      </c>
      <c r="J19" s="20" t="n">
        <v>-411</v>
      </c>
      <c r="K19" s="20" t="n">
        <v>17804</v>
      </c>
      <c r="L19" s="21">
        <f>ABS(C19)</f>
        <v/>
      </c>
      <c r="M19" s="21">
        <f>ABS(D19)</f>
        <v/>
      </c>
      <c r="N19" s="22">
        <f>(C19-AVERAGE(C$4:C$213))/STDEVP(C$4:C$213)</f>
        <v/>
      </c>
      <c r="O19" s="23">
        <f>L19/MEDIAN(L$4:L$213)</f>
        <v/>
      </c>
      <c r="P19" s="24">
        <f>IF(N19&gt;=요약!$C$5,"대량매수",IF(N19&lt;=-요약!$C$5,"대량매도",""))</f>
        <v/>
      </c>
      <c r="Q19" s="22">
        <f>(D19-AVERAGE(D$4:D$213))/STDEVP(D$4:D$213)</f>
        <v/>
      </c>
      <c r="R19" s="23">
        <f>M19/MEDIAN(M$4:M$213)</f>
        <v/>
      </c>
      <c r="S19" s="24">
        <f>IF(Q19&gt;=요약!$C$5,"대량매수",IF(Q19&lt;=-요약!$C$5,"대량매도",""))</f>
        <v/>
      </c>
    </row>
    <row r="20">
      <c r="A20" s="19" t="n">
        <v>46273</v>
      </c>
      <c r="B20" s="20" t="n">
        <v>-30329</v>
      </c>
      <c r="C20" s="20" t="n">
        <v>6316</v>
      </c>
      <c r="D20" s="20" t="n">
        <v>6427</v>
      </c>
      <c r="E20" s="20" t="n">
        <v>7643</v>
      </c>
      <c r="F20" s="20" t="n">
        <v>-613</v>
      </c>
      <c r="G20" s="20" t="n">
        <v>1406</v>
      </c>
      <c r="H20" s="20" t="n">
        <v>154</v>
      </c>
      <c r="I20" s="20" t="n">
        <v>206</v>
      </c>
      <c r="J20" s="20" t="n">
        <v>-2370</v>
      </c>
      <c r="K20" s="20" t="n">
        <v>17586</v>
      </c>
      <c r="L20" s="21">
        <f>ABS(C20)</f>
        <v/>
      </c>
      <c r="M20" s="21">
        <f>ABS(D20)</f>
        <v/>
      </c>
      <c r="N20" s="22">
        <f>(C20-AVERAGE(C$4:C$213))/STDEVP(C$4:C$213)</f>
        <v/>
      </c>
      <c r="O20" s="23">
        <f>L20/MEDIAN(L$4:L$213)</f>
        <v/>
      </c>
      <c r="P20" s="24">
        <f>IF(N20&gt;=요약!$C$5,"대량매수",IF(N20&lt;=-요약!$C$5,"대량매도",""))</f>
        <v/>
      </c>
      <c r="Q20" s="22">
        <f>(D20-AVERAGE(D$4:D$213))/STDEVP(D$4:D$213)</f>
        <v/>
      </c>
      <c r="R20" s="23">
        <f>M20/MEDIAN(M$4:M$213)</f>
        <v/>
      </c>
      <c r="S20" s="24">
        <f>IF(Q20&gt;=요약!$C$5,"대량매수",IF(Q20&lt;=-요약!$C$5,"대량매도",""))</f>
        <v/>
      </c>
    </row>
    <row r="21">
      <c r="A21" s="19" t="n">
        <v>46272</v>
      </c>
      <c r="B21" s="20" t="n">
        <v>-68374</v>
      </c>
      <c r="C21" s="20" t="n">
        <v>25532</v>
      </c>
      <c r="D21" s="20" t="n">
        <v>26491</v>
      </c>
      <c r="E21" s="20" t="n">
        <v>22185</v>
      </c>
      <c r="F21" s="20" t="n">
        <v>157</v>
      </c>
      <c r="G21" s="20" t="n">
        <v>3860</v>
      </c>
      <c r="H21" s="20" t="n">
        <v>60</v>
      </c>
      <c r="I21" s="20" t="n">
        <v>133</v>
      </c>
      <c r="J21" s="20" t="n">
        <v>96</v>
      </c>
      <c r="K21" s="20" t="n">
        <v>16352</v>
      </c>
      <c r="L21" s="21">
        <f>ABS(C21)</f>
        <v/>
      </c>
      <c r="M21" s="21">
        <f>ABS(D21)</f>
        <v/>
      </c>
      <c r="N21" s="22">
        <f>(C21-AVERAGE(C$4:C$213))/STDEVP(C$4:C$213)</f>
        <v/>
      </c>
      <c r="O21" s="23">
        <f>L21/MEDIAN(L$4:L$213)</f>
        <v/>
      </c>
      <c r="P21" s="24">
        <f>IF(N21&gt;=요약!$C$5,"대량매수",IF(N21&lt;=-요약!$C$5,"대량매도",""))</f>
        <v/>
      </c>
      <c r="Q21" s="22">
        <f>(D21-AVERAGE(D$4:D$213))/STDEVP(D$4:D$213)</f>
        <v/>
      </c>
      <c r="R21" s="23">
        <f>M21/MEDIAN(M$4:M$213)</f>
        <v/>
      </c>
      <c r="S21" s="24">
        <f>IF(Q21&gt;=요약!$C$5,"대량매수",IF(Q21&lt;=-요약!$C$5,"대량매도",""))</f>
        <v/>
      </c>
    </row>
    <row r="22">
      <c r="A22" s="19" t="n">
        <v>46269</v>
      </c>
      <c r="B22" s="20" t="n">
        <v>-37229</v>
      </c>
      <c r="C22" s="20" t="n">
        <v>4796</v>
      </c>
      <c r="D22" s="20" t="n">
        <v>16694</v>
      </c>
      <c r="E22" s="20" t="n">
        <v>11870</v>
      </c>
      <c r="F22" s="20" t="n">
        <v>359</v>
      </c>
      <c r="G22" s="20" t="n">
        <v>3370</v>
      </c>
      <c r="H22" s="20" t="n">
        <v>27</v>
      </c>
      <c r="I22" s="20" t="n">
        <v>220</v>
      </c>
      <c r="J22" s="20" t="n">
        <v>846</v>
      </c>
      <c r="K22" s="20" t="n">
        <v>15739</v>
      </c>
      <c r="L22" s="21">
        <f>ABS(C22)</f>
        <v/>
      </c>
      <c r="M22" s="21">
        <f>ABS(D22)</f>
        <v/>
      </c>
      <c r="N22" s="22">
        <f>(C22-AVERAGE(C$4:C$213))/STDEVP(C$4:C$213)</f>
        <v/>
      </c>
      <c r="O22" s="23">
        <f>L22/MEDIAN(L$4:L$213)</f>
        <v/>
      </c>
      <c r="P22" s="24">
        <f>IF(N22&gt;=요약!$C$5,"대량매수",IF(N22&lt;=-요약!$C$5,"대량매도",""))</f>
        <v/>
      </c>
      <c r="Q22" s="22">
        <f>(D22-AVERAGE(D$4:D$213))/STDEVP(D$4:D$213)</f>
        <v/>
      </c>
      <c r="R22" s="23">
        <f>M22/MEDIAN(M$4:M$213)</f>
        <v/>
      </c>
      <c r="S22" s="24">
        <f>IF(Q22&gt;=요약!$C$5,"대량매수",IF(Q22&lt;=-요약!$C$5,"대량매도",""))</f>
        <v/>
      </c>
    </row>
    <row r="23">
      <c r="A23" s="19" t="n">
        <v>46268</v>
      </c>
      <c r="B23" s="20" t="n">
        <v>-9552</v>
      </c>
      <c r="C23" s="20" t="n">
        <v>414</v>
      </c>
      <c r="D23" s="20" t="n">
        <v>9143</v>
      </c>
      <c r="E23" s="20" t="n">
        <v>10281</v>
      </c>
      <c r="F23" s="20" t="n">
        <v>202</v>
      </c>
      <c r="G23" s="20" t="n">
        <v>-1077</v>
      </c>
      <c r="H23" s="20" t="n">
        <v>18</v>
      </c>
      <c r="I23" s="20" t="n">
        <v>163</v>
      </c>
      <c r="J23" s="20" t="n">
        <v>-444</v>
      </c>
      <c r="K23" s="20" t="n">
        <v>-6</v>
      </c>
      <c r="L23" s="21">
        <f>ABS(C23)</f>
        <v/>
      </c>
      <c r="M23" s="21">
        <f>ABS(D23)</f>
        <v/>
      </c>
      <c r="N23" s="22">
        <f>(C23-AVERAGE(C$4:C$213))/STDEVP(C$4:C$213)</f>
        <v/>
      </c>
      <c r="O23" s="23">
        <f>L23/MEDIAN(L$4:L$213)</f>
        <v/>
      </c>
      <c r="P23" s="24">
        <f>IF(N23&gt;=요약!$C$5,"대량매수",IF(N23&lt;=-요약!$C$5,"대량매도",""))</f>
        <v/>
      </c>
      <c r="Q23" s="22">
        <f>(D23-AVERAGE(D$4:D$213))/STDEVP(D$4:D$213)</f>
        <v/>
      </c>
      <c r="R23" s="23">
        <f>M23/MEDIAN(M$4:M$213)</f>
        <v/>
      </c>
      <c r="S23" s="24">
        <f>IF(Q23&gt;=요약!$C$5,"대량매수",IF(Q23&lt;=-요약!$C$5,"대량매도",""))</f>
        <v/>
      </c>
    </row>
    <row r="24">
      <c r="A24" s="19" t="n">
        <v>46267</v>
      </c>
      <c r="B24" s="20" t="n">
        <v>23029</v>
      </c>
      <c r="C24" s="20" t="n">
        <v>-19173</v>
      </c>
      <c r="D24" s="20" t="n">
        <v>-20361</v>
      </c>
      <c r="E24" s="20" t="n">
        <v>-14238</v>
      </c>
      <c r="F24" s="20" t="n">
        <v>133</v>
      </c>
      <c r="G24" s="20" t="n">
        <v>-5161</v>
      </c>
      <c r="H24" s="20" t="n">
        <v>-12</v>
      </c>
      <c r="I24" s="20" t="n">
        <v>153</v>
      </c>
      <c r="J24" s="20" t="n">
        <v>-1236</v>
      </c>
      <c r="K24" s="20" t="n">
        <v>16505</v>
      </c>
      <c r="L24" s="21">
        <f>ABS(C24)</f>
        <v/>
      </c>
      <c r="M24" s="21">
        <f>ABS(D24)</f>
        <v/>
      </c>
      <c r="N24" s="22">
        <f>(C24-AVERAGE(C$4:C$213))/STDEVP(C$4:C$213)</f>
        <v/>
      </c>
      <c r="O24" s="23">
        <f>L24/MEDIAN(L$4:L$213)</f>
        <v/>
      </c>
      <c r="P24" s="24">
        <f>IF(N24&gt;=요약!$C$5,"대량매수",IF(N24&lt;=-요약!$C$5,"대량매도",""))</f>
        <v/>
      </c>
      <c r="Q24" s="22">
        <f>(D24-AVERAGE(D$4:D$213))/STDEVP(D$4:D$213)</f>
        <v/>
      </c>
      <c r="R24" s="23">
        <f>M24/MEDIAN(M$4:M$213)</f>
        <v/>
      </c>
      <c r="S24" s="24">
        <f>IF(Q24&gt;=요약!$C$5,"대량매수",IF(Q24&lt;=-요약!$C$5,"대량매도",""))</f>
        <v/>
      </c>
    </row>
    <row r="25">
      <c r="A25" s="19" t="n">
        <v>46266</v>
      </c>
      <c r="B25" s="20" t="n">
        <v>-5402</v>
      </c>
      <c r="C25" s="20" t="n">
        <v>-4968</v>
      </c>
      <c r="D25" s="20" t="n">
        <v>-6286</v>
      </c>
      <c r="E25" s="20" t="n">
        <v>-6344</v>
      </c>
      <c r="F25" s="20" t="n">
        <v>-231</v>
      </c>
      <c r="G25" s="20" t="n">
        <v>238</v>
      </c>
      <c r="H25" s="20" t="n">
        <v>24</v>
      </c>
      <c r="I25" s="20" t="n">
        <v>174</v>
      </c>
      <c r="J25" s="20" t="n">
        <v>-147</v>
      </c>
      <c r="K25" s="20" t="n">
        <v>16656</v>
      </c>
      <c r="L25" s="21">
        <f>ABS(C25)</f>
        <v/>
      </c>
      <c r="M25" s="21">
        <f>ABS(D25)</f>
        <v/>
      </c>
      <c r="N25" s="22">
        <f>(C25-AVERAGE(C$4:C$213))/STDEVP(C$4:C$213)</f>
        <v/>
      </c>
      <c r="O25" s="23">
        <f>L25/MEDIAN(L$4:L$213)</f>
        <v/>
      </c>
      <c r="P25" s="24">
        <f>IF(N25&gt;=요약!$C$5,"대량매수",IF(N25&lt;=-요약!$C$5,"대량매도",""))</f>
        <v/>
      </c>
      <c r="Q25" s="22">
        <f>(D25-AVERAGE(D$4:D$213))/STDEVP(D$4:D$213)</f>
        <v/>
      </c>
      <c r="R25" s="23">
        <f>M25/MEDIAN(M$4:M$213)</f>
        <v/>
      </c>
      <c r="S25" s="24">
        <f>IF(Q25&gt;=요약!$C$5,"대량매수",IF(Q25&lt;=-요약!$C$5,"대량매도",""))</f>
        <v/>
      </c>
    </row>
    <row r="26">
      <c r="A26" s="19" t="n">
        <v>46265</v>
      </c>
      <c r="B26" s="20" t="n">
        <v>-1464</v>
      </c>
      <c r="C26" s="20" t="n">
        <v>-6434</v>
      </c>
      <c r="D26" s="20" t="n">
        <v>-7891</v>
      </c>
      <c r="E26" s="20" t="n">
        <v>-2435</v>
      </c>
      <c r="F26" s="20" t="n">
        <v>167</v>
      </c>
      <c r="G26" s="20" t="n">
        <v>-5495</v>
      </c>
      <c r="H26" s="20" t="n">
        <v>12</v>
      </c>
      <c r="I26" s="20" t="n">
        <v>217</v>
      </c>
      <c r="J26" s="20" t="n">
        <v>-357</v>
      </c>
      <c r="K26" s="20" t="n">
        <v>15790</v>
      </c>
      <c r="L26" s="21">
        <f>ABS(C26)</f>
        <v/>
      </c>
      <c r="M26" s="21">
        <f>ABS(D26)</f>
        <v/>
      </c>
      <c r="N26" s="22">
        <f>(C26-AVERAGE(C$4:C$213))/STDEVP(C$4:C$213)</f>
        <v/>
      </c>
      <c r="O26" s="23">
        <f>L26/MEDIAN(L$4:L$213)</f>
        <v/>
      </c>
      <c r="P26" s="24">
        <f>IF(N26&gt;=요약!$C$5,"대량매수",IF(N26&lt;=-요약!$C$5,"대량매도",""))</f>
        <v/>
      </c>
      <c r="Q26" s="22">
        <f>(D26-AVERAGE(D$4:D$213))/STDEVP(D$4:D$213)</f>
        <v/>
      </c>
      <c r="R26" s="23">
        <f>M26/MEDIAN(M$4:M$213)</f>
        <v/>
      </c>
      <c r="S26" s="24">
        <f>IF(Q26&gt;=요약!$C$5,"대량매수",IF(Q26&lt;=-요약!$C$5,"대량매도",""))</f>
        <v/>
      </c>
    </row>
    <row r="27">
      <c r="A27" s="19" t="n">
        <v>46262</v>
      </c>
      <c r="B27" s="20" t="n">
        <v>4194</v>
      </c>
      <c r="C27" s="20" t="n">
        <v>-8525</v>
      </c>
      <c r="D27" s="20" t="n">
        <v>-11876</v>
      </c>
      <c r="E27" s="20" t="n">
        <v>-2874</v>
      </c>
      <c r="F27" s="20" t="n">
        <v>244</v>
      </c>
      <c r="G27" s="20" t="n">
        <v>-9224</v>
      </c>
      <c r="H27" s="20" t="n">
        <v>5</v>
      </c>
      <c r="I27" s="20" t="n">
        <v>202</v>
      </c>
      <c r="J27" s="20" t="n">
        <v>-229</v>
      </c>
      <c r="K27" s="20" t="n">
        <v>16206</v>
      </c>
      <c r="L27" s="21">
        <f>ABS(C27)</f>
        <v/>
      </c>
      <c r="M27" s="21">
        <f>ABS(D27)</f>
        <v/>
      </c>
      <c r="N27" s="22">
        <f>(C27-AVERAGE(C$4:C$213))/STDEVP(C$4:C$213)</f>
        <v/>
      </c>
      <c r="O27" s="23">
        <f>L27/MEDIAN(L$4:L$213)</f>
        <v/>
      </c>
      <c r="P27" s="24">
        <f>IF(N27&gt;=요약!$C$5,"대량매수",IF(N27&lt;=-요약!$C$5,"대량매도",""))</f>
        <v/>
      </c>
      <c r="Q27" s="22">
        <f>(D27-AVERAGE(D$4:D$213))/STDEVP(D$4:D$213)</f>
        <v/>
      </c>
      <c r="R27" s="23">
        <f>M27/MEDIAN(M$4:M$213)</f>
        <v/>
      </c>
      <c r="S27" s="24">
        <f>IF(Q27&gt;=요약!$C$5,"대량매수",IF(Q27&lt;=-요약!$C$5,"대량매도",""))</f>
        <v/>
      </c>
    </row>
    <row r="28">
      <c r="A28" s="19" t="n">
        <v>46261</v>
      </c>
      <c r="B28" s="20" t="n">
        <v>-19116</v>
      </c>
      <c r="C28" s="20" t="n">
        <v>1333</v>
      </c>
      <c r="D28" s="20" t="n">
        <v>1835</v>
      </c>
      <c r="E28" s="20" t="n">
        <v>4933</v>
      </c>
      <c r="F28" s="20" t="n">
        <v>181</v>
      </c>
      <c r="G28" s="20" t="n">
        <v>-2063</v>
      </c>
      <c r="H28" s="20" t="n">
        <v>24</v>
      </c>
      <c r="I28" s="20" t="n">
        <v>189</v>
      </c>
      <c r="J28" s="20" t="n">
        <v>-1429</v>
      </c>
      <c r="K28" s="20" t="n">
        <v>15948</v>
      </c>
      <c r="L28" s="21">
        <f>ABS(C28)</f>
        <v/>
      </c>
      <c r="M28" s="21">
        <f>ABS(D28)</f>
        <v/>
      </c>
      <c r="N28" s="22">
        <f>(C28-AVERAGE(C$4:C$213))/STDEVP(C$4:C$213)</f>
        <v/>
      </c>
      <c r="O28" s="23">
        <f>L28/MEDIAN(L$4:L$213)</f>
        <v/>
      </c>
      <c r="P28" s="24">
        <f>IF(N28&gt;=요약!$C$5,"대량매수",IF(N28&lt;=-요약!$C$5,"대량매도",""))</f>
        <v/>
      </c>
      <c r="Q28" s="22">
        <f>(D28-AVERAGE(D$4:D$213))/STDEVP(D$4:D$213)</f>
        <v/>
      </c>
      <c r="R28" s="23">
        <f>M28/MEDIAN(M$4:M$213)</f>
        <v/>
      </c>
      <c r="S28" s="24">
        <f>IF(Q28&gt;=요약!$C$5,"대량매수",IF(Q28&lt;=-요약!$C$5,"대량매도",""))</f>
        <v/>
      </c>
    </row>
    <row r="29">
      <c r="A29" s="19" t="n">
        <v>46260</v>
      </c>
      <c r="B29" s="20" t="n">
        <v>-22461</v>
      </c>
      <c r="C29" s="20" t="n">
        <v>-1148</v>
      </c>
      <c r="D29" s="20" t="n">
        <v>7615</v>
      </c>
      <c r="E29" s="20" t="n">
        <v>6857</v>
      </c>
      <c r="F29" s="20" t="n">
        <v>75</v>
      </c>
      <c r="G29" s="20" t="n">
        <v>849</v>
      </c>
      <c r="H29" s="20" t="n">
        <v>1</v>
      </c>
      <c r="I29" s="20" t="n">
        <v>173</v>
      </c>
      <c r="J29" s="20" t="n">
        <v>-339</v>
      </c>
      <c r="K29" s="20" t="n">
        <v>15994</v>
      </c>
      <c r="L29" s="21">
        <f>ABS(C29)</f>
        <v/>
      </c>
      <c r="M29" s="21">
        <f>ABS(D29)</f>
        <v/>
      </c>
      <c r="N29" s="22">
        <f>(C29-AVERAGE(C$4:C$213))/STDEVP(C$4:C$213)</f>
        <v/>
      </c>
      <c r="O29" s="23">
        <f>L29/MEDIAN(L$4:L$213)</f>
        <v/>
      </c>
      <c r="P29" s="24">
        <f>IF(N29&gt;=요약!$C$5,"대량매수",IF(N29&lt;=-요약!$C$5,"대량매도",""))</f>
        <v/>
      </c>
      <c r="Q29" s="22">
        <f>(D29-AVERAGE(D$4:D$213))/STDEVP(D$4:D$213)</f>
        <v/>
      </c>
      <c r="R29" s="23">
        <f>M29/MEDIAN(M$4:M$213)</f>
        <v/>
      </c>
      <c r="S29" s="24">
        <f>IF(Q29&gt;=요약!$C$5,"대량매수",IF(Q29&lt;=-요약!$C$5,"대량매도",""))</f>
        <v/>
      </c>
    </row>
    <row r="30">
      <c r="A30" s="19" t="n">
        <v>46259</v>
      </c>
      <c r="B30" s="20" t="n">
        <v>10509</v>
      </c>
      <c r="C30" s="20" t="n">
        <v>-38140</v>
      </c>
      <c r="D30" s="20" t="n">
        <v>11711</v>
      </c>
      <c r="E30" s="20" t="n">
        <v>10709</v>
      </c>
      <c r="F30" s="20" t="n">
        <v>57</v>
      </c>
      <c r="G30" s="20" t="n">
        <v>625</v>
      </c>
      <c r="H30" s="20" t="n">
        <v>-147</v>
      </c>
      <c r="I30" s="20" t="n">
        <v>232</v>
      </c>
      <c r="J30" s="20" t="n">
        <v>234</v>
      </c>
      <c r="K30" s="20" t="n">
        <v>15920</v>
      </c>
      <c r="L30" s="21">
        <f>ABS(C30)</f>
        <v/>
      </c>
      <c r="M30" s="21">
        <f>ABS(D30)</f>
        <v/>
      </c>
      <c r="N30" s="22">
        <f>(C30-AVERAGE(C$4:C$213))/STDEVP(C$4:C$213)</f>
        <v/>
      </c>
      <c r="O30" s="23">
        <f>L30/MEDIAN(L$4:L$213)</f>
        <v/>
      </c>
      <c r="P30" s="24">
        <f>IF(N30&gt;=요약!$C$5,"대량매수",IF(N30&lt;=-요약!$C$5,"대량매도",""))</f>
        <v/>
      </c>
      <c r="Q30" s="22">
        <f>(D30-AVERAGE(D$4:D$213))/STDEVP(D$4:D$213)</f>
        <v/>
      </c>
      <c r="R30" s="23">
        <f>M30/MEDIAN(M$4:M$213)</f>
        <v/>
      </c>
      <c r="S30" s="24">
        <f>IF(Q30&gt;=요약!$C$5,"대량매수",IF(Q30&lt;=-요약!$C$5,"대량매도",""))</f>
        <v/>
      </c>
    </row>
    <row r="31">
      <c r="A31" s="19" t="n">
        <v>46258</v>
      </c>
      <c r="B31" s="20" t="n">
        <v>33217</v>
      </c>
      <c r="C31" s="20" t="n">
        <v>-36691</v>
      </c>
      <c r="D31" s="20" t="n">
        <v>-12901</v>
      </c>
      <c r="E31" s="20" t="n">
        <v>-4039</v>
      </c>
      <c r="F31" s="20" t="n">
        <v>-184</v>
      </c>
      <c r="G31" s="20" t="n">
        <v>-8894</v>
      </c>
      <c r="H31" s="20" t="n">
        <v>3</v>
      </c>
      <c r="I31" s="20" t="n">
        <v>169</v>
      </c>
      <c r="J31" s="20" t="n">
        <v>44</v>
      </c>
      <c r="K31" s="20" t="n">
        <v>16375</v>
      </c>
      <c r="L31" s="21">
        <f>ABS(C31)</f>
        <v/>
      </c>
      <c r="M31" s="21">
        <f>ABS(D31)</f>
        <v/>
      </c>
      <c r="N31" s="22">
        <f>(C31-AVERAGE(C$4:C$213))/STDEVP(C$4:C$213)</f>
        <v/>
      </c>
      <c r="O31" s="23">
        <f>L31/MEDIAN(L$4:L$213)</f>
        <v/>
      </c>
      <c r="P31" s="24">
        <f>IF(N31&gt;=요약!$C$5,"대량매수",IF(N31&lt;=-요약!$C$5,"대량매도",""))</f>
        <v/>
      </c>
      <c r="Q31" s="22">
        <f>(D31-AVERAGE(D$4:D$213))/STDEVP(D$4:D$213)</f>
        <v/>
      </c>
      <c r="R31" s="23">
        <f>M31/MEDIAN(M$4:M$213)</f>
        <v/>
      </c>
      <c r="S31" s="24">
        <f>IF(Q31&gt;=요약!$C$5,"대량매수",IF(Q31&lt;=-요약!$C$5,"대량매도",""))</f>
        <v/>
      </c>
    </row>
    <row r="32">
      <c r="A32" s="19" t="n">
        <v>46255</v>
      </c>
      <c r="B32" s="20" t="n">
        <v>-11652</v>
      </c>
      <c r="C32" s="20" t="n">
        <v>-1760</v>
      </c>
      <c r="D32" s="20" t="n">
        <v>2481</v>
      </c>
      <c r="E32" s="20" t="n">
        <v>1119</v>
      </c>
      <c r="F32" s="20" t="n">
        <v>-109</v>
      </c>
      <c r="G32" s="20" t="n">
        <v>840</v>
      </c>
      <c r="H32" s="20" t="n">
        <v>-54</v>
      </c>
      <c r="I32" s="20" t="n">
        <v>221</v>
      </c>
      <c r="J32" s="20" t="n">
        <v>464</v>
      </c>
      <c r="K32" s="20" t="n">
        <v>10931</v>
      </c>
      <c r="L32" s="21">
        <f>ABS(C32)</f>
        <v/>
      </c>
      <c r="M32" s="21">
        <f>ABS(D32)</f>
        <v/>
      </c>
      <c r="N32" s="22">
        <f>(C32-AVERAGE(C$4:C$213))/STDEVP(C$4:C$213)</f>
        <v/>
      </c>
      <c r="O32" s="23">
        <f>L32/MEDIAN(L$4:L$213)</f>
        <v/>
      </c>
      <c r="P32" s="24">
        <f>IF(N32&gt;=요약!$C$5,"대량매수",IF(N32&lt;=-요약!$C$5,"대량매도",""))</f>
        <v/>
      </c>
      <c r="Q32" s="22">
        <f>(D32-AVERAGE(D$4:D$213))/STDEVP(D$4:D$213)</f>
        <v/>
      </c>
      <c r="R32" s="23">
        <f>M32/MEDIAN(M$4:M$213)</f>
        <v/>
      </c>
      <c r="S32" s="24">
        <f>IF(Q32&gt;=요약!$C$5,"대량매수",IF(Q32&lt;=-요약!$C$5,"대량매도",""))</f>
        <v/>
      </c>
    </row>
    <row r="33">
      <c r="A33" s="19" t="n">
        <v>46254</v>
      </c>
      <c r="B33" s="20" t="n">
        <v>-22712</v>
      </c>
      <c r="C33" s="20" t="n">
        <v>17068</v>
      </c>
      <c r="D33" s="20" t="n">
        <v>-4895</v>
      </c>
      <c r="E33" s="20" t="n">
        <v>-12879</v>
      </c>
      <c r="F33" s="20" t="n">
        <v>-160</v>
      </c>
      <c r="G33" s="20" t="n">
        <v>9702</v>
      </c>
      <c r="H33" s="20" t="n">
        <v>35</v>
      </c>
      <c r="I33" s="20" t="n">
        <v>223</v>
      </c>
      <c r="J33" s="20" t="n">
        <v>-1816</v>
      </c>
      <c r="K33" s="20" t="n">
        <v>10539</v>
      </c>
      <c r="L33" s="21">
        <f>ABS(C33)</f>
        <v/>
      </c>
      <c r="M33" s="21">
        <f>ABS(D33)</f>
        <v/>
      </c>
      <c r="N33" s="22">
        <f>(C33-AVERAGE(C$4:C$213))/STDEVP(C$4:C$213)</f>
        <v/>
      </c>
      <c r="O33" s="23">
        <f>L33/MEDIAN(L$4:L$213)</f>
        <v/>
      </c>
      <c r="P33" s="24">
        <f>IF(N33&gt;=요약!$C$5,"대량매수",IF(N33&lt;=-요약!$C$5,"대량매도",""))</f>
        <v/>
      </c>
      <c r="Q33" s="22">
        <f>(D33-AVERAGE(D$4:D$213))/STDEVP(D$4:D$213)</f>
        <v/>
      </c>
      <c r="R33" s="23">
        <f>M33/MEDIAN(M$4:M$213)</f>
        <v/>
      </c>
      <c r="S33" s="24">
        <f>IF(Q33&gt;=요약!$C$5,"대량매수",IF(Q33&lt;=-요약!$C$5,"대량매도",""))</f>
        <v/>
      </c>
    </row>
    <row r="34">
      <c r="A34" s="19" t="n">
        <v>46253</v>
      </c>
      <c r="B34" s="20" t="n">
        <v>46357</v>
      </c>
      <c r="C34" s="20" t="n">
        <v>-34726</v>
      </c>
      <c r="D34" s="20" t="n">
        <v>-13390</v>
      </c>
      <c r="E34" s="20" t="n">
        <v>-9753</v>
      </c>
      <c r="F34" s="20" t="n">
        <v>667</v>
      </c>
      <c r="G34" s="20" t="n">
        <v>-5105</v>
      </c>
      <c r="H34" s="20" t="n">
        <v>-116</v>
      </c>
      <c r="I34" s="20" t="n">
        <v>187</v>
      </c>
      <c r="J34" s="20" t="n">
        <v>731</v>
      </c>
      <c r="K34" s="20" t="n">
        <v>1759</v>
      </c>
      <c r="L34" s="21">
        <f>ABS(C34)</f>
        <v/>
      </c>
      <c r="M34" s="21">
        <f>ABS(D34)</f>
        <v/>
      </c>
      <c r="N34" s="22">
        <f>(C34-AVERAGE(C$4:C$213))/STDEVP(C$4:C$213)</f>
        <v/>
      </c>
      <c r="O34" s="23">
        <f>L34/MEDIAN(L$4:L$213)</f>
        <v/>
      </c>
      <c r="P34" s="24">
        <f>IF(N34&gt;=요약!$C$5,"대량매수",IF(N34&lt;=-요약!$C$5,"대량매도",""))</f>
        <v/>
      </c>
      <c r="Q34" s="22">
        <f>(D34-AVERAGE(D$4:D$213))/STDEVP(D$4:D$213)</f>
        <v/>
      </c>
      <c r="R34" s="23">
        <f>M34/MEDIAN(M$4:M$213)</f>
        <v/>
      </c>
      <c r="S34" s="24">
        <f>IF(Q34&gt;=요약!$C$5,"대량매수",IF(Q34&lt;=-요약!$C$5,"대량매도",""))</f>
        <v/>
      </c>
    </row>
    <row r="35">
      <c r="A35" s="19" t="n">
        <v>46252</v>
      </c>
      <c r="B35" s="20" t="n">
        <v>7420</v>
      </c>
      <c r="C35" s="20" t="n">
        <v>914</v>
      </c>
      <c r="D35" s="20" t="n">
        <v>-7951</v>
      </c>
      <c r="E35" s="20" t="n">
        <v>-5473</v>
      </c>
      <c r="F35" s="20" t="n">
        <v>-385</v>
      </c>
      <c r="G35" s="20" t="n">
        <v>-1218</v>
      </c>
      <c r="H35" s="20" t="n">
        <v>-99</v>
      </c>
      <c r="I35" s="20" t="n">
        <v>29</v>
      </c>
      <c r="J35" s="20" t="n">
        <v>-806</v>
      </c>
      <c r="K35" s="20" t="n">
        <v>-383</v>
      </c>
      <c r="L35" s="21">
        <f>ABS(C35)</f>
        <v/>
      </c>
      <c r="M35" s="21">
        <f>ABS(D35)</f>
        <v/>
      </c>
      <c r="N35" s="22">
        <f>(C35-AVERAGE(C$4:C$213))/STDEVP(C$4:C$213)</f>
        <v/>
      </c>
      <c r="O35" s="23">
        <f>L35/MEDIAN(L$4:L$213)</f>
        <v/>
      </c>
      <c r="P35" s="24">
        <f>IF(N35&gt;=요약!$C$5,"대량매수",IF(N35&lt;=-요약!$C$5,"대량매도",""))</f>
        <v/>
      </c>
      <c r="Q35" s="22">
        <f>(D35-AVERAGE(D$4:D$213))/STDEVP(D$4:D$213)</f>
        <v/>
      </c>
      <c r="R35" s="23">
        <f>M35/MEDIAN(M$4:M$213)</f>
        <v/>
      </c>
      <c r="S35" s="24">
        <f>IF(Q35&gt;=요약!$C$5,"대량매수",IF(Q35&lt;=-요약!$C$5,"대량매도",""))</f>
        <v/>
      </c>
    </row>
    <row r="36">
      <c r="A36" s="19" t="n">
        <v>46248</v>
      </c>
      <c r="B36" s="20" t="n">
        <v>-19820</v>
      </c>
      <c r="C36" s="20" t="n">
        <v>30387</v>
      </c>
      <c r="D36" s="20" t="n">
        <v>-10298</v>
      </c>
      <c r="E36" s="20" t="n">
        <v>-11634</v>
      </c>
      <c r="F36" s="20" t="n">
        <v>-142</v>
      </c>
      <c r="G36" s="20" t="n">
        <v>1011</v>
      </c>
      <c r="H36" s="20" t="n">
        <v>-115</v>
      </c>
      <c r="I36" s="20" t="n">
        <v>192</v>
      </c>
      <c r="J36" s="20" t="n">
        <v>391</v>
      </c>
      <c r="K36" s="20" t="n">
        <v>-269</v>
      </c>
      <c r="L36" s="21">
        <f>ABS(C36)</f>
        <v/>
      </c>
      <c r="M36" s="21">
        <f>ABS(D36)</f>
        <v/>
      </c>
      <c r="N36" s="22">
        <f>(C36-AVERAGE(C$4:C$213))/STDEVP(C$4:C$213)</f>
        <v/>
      </c>
      <c r="O36" s="23">
        <f>L36/MEDIAN(L$4:L$213)</f>
        <v/>
      </c>
      <c r="P36" s="24">
        <f>IF(N36&gt;=요약!$C$5,"대량매수",IF(N36&lt;=-요약!$C$5,"대량매도",""))</f>
        <v/>
      </c>
      <c r="Q36" s="22">
        <f>(D36-AVERAGE(D$4:D$213))/STDEVP(D$4:D$213)</f>
        <v/>
      </c>
      <c r="R36" s="23">
        <f>M36/MEDIAN(M$4:M$213)</f>
        <v/>
      </c>
      <c r="S36" s="24">
        <f>IF(Q36&gt;=요약!$C$5,"대량매수",IF(Q36&lt;=-요약!$C$5,"대량매도",""))</f>
        <v/>
      </c>
    </row>
    <row r="37">
      <c r="A37" s="19" t="n">
        <v>46247</v>
      </c>
      <c r="B37" s="20" t="n">
        <v>-27410</v>
      </c>
      <c r="C37" s="20" t="n">
        <v>21102</v>
      </c>
      <c r="D37" s="20" t="n">
        <v>6834</v>
      </c>
      <c r="E37" s="20" t="n">
        <v>20</v>
      </c>
      <c r="F37" s="20" t="n">
        <v>-76</v>
      </c>
      <c r="G37" s="20" t="n">
        <v>7385</v>
      </c>
      <c r="H37" s="20" t="n">
        <v>-21</v>
      </c>
      <c r="I37" s="20" t="n">
        <v>166</v>
      </c>
      <c r="J37" s="20" t="n">
        <v>-641</v>
      </c>
      <c r="K37" s="20" t="n">
        <v>-526</v>
      </c>
      <c r="L37" s="21">
        <f>ABS(C37)</f>
        <v/>
      </c>
      <c r="M37" s="21">
        <f>ABS(D37)</f>
        <v/>
      </c>
      <c r="N37" s="22">
        <f>(C37-AVERAGE(C$4:C$213))/STDEVP(C$4:C$213)</f>
        <v/>
      </c>
      <c r="O37" s="23">
        <f>L37/MEDIAN(L$4:L$213)</f>
        <v/>
      </c>
      <c r="P37" s="24">
        <f>IF(N37&gt;=요약!$C$5,"대량매수",IF(N37&lt;=-요약!$C$5,"대량매도",""))</f>
        <v/>
      </c>
      <c r="Q37" s="22">
        <f>(D37-AVERAGE(D$4:D$213))/STDEVP(D$4:D$213)</f>
        <v/>
      </c>
      <c r="R37" s="23">
        <f>M37/MEDIAN(M$4:M$213)</f>
        <v/>
      </c>
      <c r="S37" s="24">
        <f>IF(Q37&gt;=요약!$C$5,"대량매수",IF(Q37&lt;=-요약!$C$5,"대량매도",""))</f>
        <v/>
      </c>
    </row>
    <row r="38">
      <c r="A38" s="19" t="n">
        <v>46246</v>
      </c>
      <c r="B38" s="20" t="n">
        <v>-31911</v>
      </c>
      <c r="C38" s="20" t="n">
        <v>28354</v>
      </c>
      <c r="D38" s="20" t="n">
        <v>5279</v>
      </c>
      <c r="E38" s="20" t="n">
        <v>2535</v>
      </c>
      <c r="F38" s="20" t="n">
        <v>215</v>
      </c>
      <c r="G38" s="20" t="n">
        <v>2642</v>
      </c>
      <c r="H38" s="20" t="n">
        <v>-25</v>
      </c>
      <c r="I38" s="20" t="n">
        <v>193</v>
      </c>
      <c r="J38" s="20" t="n">
        <v>-281</v>
      </c>
      <c r="K38" s="20" t="n">
        <v>-1722</v>
      </c>
      <c r="L38" s="21">
        <f>ABS(C38)</f>
        <v/>
      </c>
      <c r="M38" s="21">
        <f>ABS(D38)</f>
        <v/>
      </c>
      <c r="N38" s="22">
        <f>(C38-AVERAGE(C$4:C$213))/STDEVP(C$4:C$213)</f>
        <v/>
      </c>
      <c r="O38" s="23">
        <f>L38/MEDIAN(L$4:L$213)</f>
        <v/>
      </c>
      <c r="P38" s="24">
        <f>IF(N38&gt;=요약!$C$5,"대량매수",IF(N38&lt;=-요약!$C$5,"대량매도",""))</f>
        <v/>
      </c>
      <c r="Q38" s="22">
        <f>(D38-AVERAGE(D$4:D$213))/STDEVP(D$4:D$213)</f>
        <v/>
      </c>
      <c r="R38" s="23">
        <f>M38/MEDIAN(M$4:M$213)</f>
        <v/>
      </c>
      <c r="S38" s="24">
        <f>IF(Q38&gt;=요약!$C$5,"대량매수",IF(Q38&lt;=-요약!$C$5,"대량매도",""))</f>
        <v/>
      </c>
    </row>
    <row r="39">
      <c r="A39" s="19" t="n">
        <v>46245</v>
      </c>
      <c r="B39" s="20" t="n">
        <v>-708</v>
      </c>
      <c r="C39" s="20" t="n">
        <v>535</v>
      </c>
      <c r="D39" s="20" t="n">
        <v>212</v>
      </c>
      <c r="E39" s="20" t="n">
        <v>-2089</v>
      </c>
      <c r="F39" s="20" t="n">
        <v>-65</v>
      </c>
      <c r="G39" s="20" t="n">
        <v>2717</v>
      </c>
      <c r="H39" s="20" t="n">
        <v>-76</v>
      </c>
      <c r="I39" s="20" t="n">
        <v>151</v>
      </c>
      <c r="J39" s="20" t="n">
        <v>-426</v>
      </c>
      <c r="K39" s="20" t="n">
        <v>-40</v>
      </c>
      <c r="L39" s="21">
        <f>ABS(C39)</f>
        <v/>
      </c>
      <c r="M39" s="21">
        <f>ABS(D39)</f>
        <v/>
      </c>
      <c r="N39" s="22">
        <f>(C39-AVERAGE(C$4:C$213))/STDEVP(C$4:C$213)</f>
        <v/>
      </c>
      <c r="O39" s="23">
        <f>L39/MEDIAN(L$4:L$213)</f>
        <v/>
      </c>
      <c r="P39" s="24">
        <f>IF(N39&gt;=요약!$C$5,"대량매수",IF(N39&lt;=-요약!$C$5,"대량매도",""))</f>
        <v/>
      </c>
      <c r="Q39" s="22">
        <f>(D39-AVERAGE(D$4:D$213))/STDEVP(D$4:D$213)</f>
        <v/>
      </c>
      <c r="R39" s="23">
        <f>M39/MEDIAN(M$4:M$213)</f>
        <v/>
      </c>
      <c r="S39" s="24">
        <f>IF(Q39&gt;=요약!$C$5,"대량매수",IF(Q39&lt;=-요약!$C$5,"대량매도",""))</f>
        <v/>
      </c>
    </row>
    <row r="40">
      <c r="A40" s="19" t="n">
        <v>46244</v>
      </c>
      <c r="B40" s="20" t="n">
        <v>9003</v>
      </c>
      <c r="C40" s="20" t="n">
        <v>-14909</v>
      </c>
      <c r="D40" s="20" t="n">
        <v>5692</v>
      </c>
      <c r="E40" s="20" t="n">
        <v>6197</v>
      </c>
      <c r="F40" s="20" t="n">
        <v>692</v>
      </c>
      <c r="G40" s="20" t="n">
        <v>124</v>
      </c>
      <c r="H40" s="20" t="n">
        <v>-26</v>
      </c>
      <c r="I40" s="20" t="n">
        <v>154</v>
      </c>
      <c r="J40" s="20" t="n">
        <v>-1449</v>
      </c>
      <c r="K40" s="20" t="n">
        <v>215</v>
      </c>
      <c r="L40" s="21">
        <f>ABS(C40)</f>
        <v/>
      </c>
      <c r="M40" s="21">
        <f>ABS(D40)</f>
        <v/>
      </c>
      <c r="N40" s="22">
        <f>(C40-AVERAGE(C$4:C$213))/STDEVP(C$4:C$213)</f>
        <v/>
      </c>
      <c r="O40" s="23">
        <f>L40/MEDIAN(L$4:L$213)</f>
        <v/>
      </c>
      <c r="P40" s="24">
        <f>IF(N40&gt;=요약!$C$5,"대량매수",IF(N40&lt;=-요약!$C$5,"대량매도",""))</f>
        <v/>
      </c>
      <c r="Q40" s="22">
        <f>(D40-AVERAGE(D$4:D$213))/STDEVP(D$4:D$213)</f>
        <v/>
      </c>
      <c r="R40" s="23">
        <f>M40/MEDIAN(M$4:M$213)</f>
        <v/>
      </c>
      <c r="S40" s="24">
        <f>IF(Q40&gt;=요약!$C$5,"대량매수",IF(Q40&lt;=-요약!$C$5,"대량매도",""))</f>
        <v/>
      </c>
    </row>
    <row r="41">
      <c r="A41" s="19" t="n">
        <v>46241</v>
      </c>
      <c r="B41" s="20" t="n">
        <v>2675</v>
      </c>
      <c r="C41" s="20" t="n">
        <v>-8651</v>
      </c>
      <c r="D41" s="20" t="n">
        <v>5854</v>
      </c>
      <c r="E41" s="20" t="n">
        <v>6401</v>
      </c>
      <c r="F41" s="20" t="n">
        <v>526</v>
      </c>
      <c r="G41" s="20" t="n">
        <v>-25</v>
      </c>
      <c r="H41" s="20" t="n">
        <v>-36</v>
      </c>
      <c r="I41" s="20" t="n">
        <v>153</v>
      </c>
      <c r="J41" s="20" t="n">
        <v>-1166</v>
      </c>
      <c r="K41" s="20" t="n">
        <v>122</v>
      </c>
      <c r="L41" s="21">
        <f>ABS(C41)</f>
        <v/>
      </c>
      <c r="M41" s="21">
        <f>ABS(D41)</f>
        <v/>
      </c>
      <c r="N41" s="22">
        <f>(C41-AVERAGE(C$4:C$213))/STDEVP(C$4:C$213)</f>
        <v/>
      </c>
      <c r="O41" s="23">
        <f>L41/MEDIAN(L$4:L$213)</f>
        <v/>
      </c>
      <c r="P41" s="24">
        <f>IF(N41&gt;=요약!$C$5,"대량매수",IF(N41&lt;=-요약!$C$5,"대량매도",""))</f>
        <v/>
      </c>
      <c r="Q41" s="22">
        <f>(D41-AVERAGE(D$4:D$213))/STDEVP(D$4:D$213)</f>
        <v/>
      </c>
      <c r="R41" s="23">
        <f>M41/MEDIAN(M$4:M$213)</f>
        <v/>
      </c>
      <c r="S41" s="24">
        <f>IF(Q41&gt;=요약!$C$5,"대량매수",IF(Q41&lt;=-요약!$C$5,"대량매도",""))</f>
        <v/>
      </c>
    </row>
    <row r="42">
      <c r="A42" s="19" t="n">
        <v>46240</v>
      </c>
      <c r="B42" s="20" t="n">
        <v>33367</v>
      </c>
      <c r="C42" s="20" t="n">
        <v>-32893</v>
      </c>
      <c r="D42" s="20" t="n">
        <v>-1214</v>
      </c>
      <c r="E42" s="20" t="n">
        <v>6787</v>
      </c>
      <c r="F42" s="20" t="n">
        <v>480</v>
      </c>
      <c r="G42" s="20" t="n">
        <v>-9049</v>
      </c>
      <c r="H42" s="20" t="n">
        <v>-78</v>
      </c>
      <c r="I42" s="20" t="n">
        <v>175</v>
      </c>
      <c r="J42" s="20" t="n">
        <v>471</v>
      </c>
      <c r="K42" s="20" t="n">
        <v>740</v>
      </c>
      <c r="L42" s="21">
        <f>ABS(C42)</f>
        <v/>
      </c>
      <c r="M42" s="21">
        <f>ABS(D42)</f>
        <v/>
      </c>
      <c r="N42" s="22">
        <f>(C42-AVERAGE(C$4:C$213))/STDEVP(C$4:C$213)</f>
        <v/>
      </c>
      <c r="O42" s="23">
        <f>L42/MEDIAN(L$4:L$213)</f>
        <v/>
      </c>
      <c r="P42" s="24">
        <f>IF(N42&gt;=요약!$C$5,"대량매수",IF(N42&lt;=-요약!$C$5,"대량매도",""))</f>
        <v/>
      </c>
      <c r="Q42" s="22">
        <f>(D42-AVERAGE(D$4:D$213))/STDEVP(D$4:D$213)</f>
        <v/>
      </c>
      <c r="R42" s="23">
        <f>M42/MEDIAN(M$4:M$213)</f>
        <v/>
      </c>
      <c r="S42" s="24">
        <f>IF(Q42&gt;=요약!$C$5,"대량매수",IF(Q42&lt;=-요약!$C$5,"대량매도",""))</f>
        <v/>
      </c>
    </row>
    <row r="43">
      <c r="A43" s="19" t="n">
        <v>46239</v>
      </c>
      <c r="B43" s="20" t="n">
        <v>-11844</v>
      </c>
      <c r="C43" s="20" t="n">
        <v>14464</v>
      </c>
      <c r="D43" s="20" t="n">
        <v>-2838</v>
      </c>
      <c r="E43" s="20" t="n">
        <v>1357</v>
      </c>
      <c r="F43" s="20" t="n">
        <v>-105</v>
      </c>
      <c r="G43" s="20" t="n">
        <v>-4093</v>
      </c>
      <c r="H43" s="20" t="n">
        <v>20</v>
      </c>
      <c r="I43" s="20" t="n">
        <v>252</v>
      </c>
      <c r="J43" s="20" t="n">
        <v>-268</v>
      </c>
      <c r="K43" s="20" t="n">
        <v>218</v>
      </c>
      <c r="L43" s="21">
        <f>ABS(C43)</f>
        <v/>
      </c>
      <c r="M43" s="21">
        <f>ABS(D43)</f>
        <v/>
      </c>
      <c r="N43" s="22">
        <f>(C43-AVERAGE(C$4:C$213))/STDEVP(C$4:C$213)</f>
        <v/>
      </c>
      <c r="O43" s="23">
        <f>L43/MEDIAN(L$4:L$213)</f>
        <v/>
      </c>
      <c r="P43" s="24">
        <f>IF(N43&gt;=요약!$C$5,"대량매수",IF(N43&lt;=-요약!$C$5,"대량매도",""))</f>
        <v/>
      </c>
      <c r="Q43" s="22">
        <f>(D43-AVERAGE(D$4:D$213))/STDEVP(D$4:D$213)</f>
        <v/>
      </c>
      <c r="R43" s="23">
        <f>M43/MEDIAN(M$4:M$213)</f>
        <v/>
      </c>
      <c r="S43" s="24">
        <f>IF(Q43&gt;=요약!$C$5,"대량매수",IF(Q43&lt;=-요약!$C$5,"대량매도",""))</f>
        <v/>
      </c>
    </row>
    <row r="44">
      <c r="A44" s="19" t="n">
        <v>46238</v>
      </c>
      <c r="B44" s="20" t="n">
        <v>8187</v>
      </c>
      <c r="C44" s="20" t="n">
        <v>-3716</v>
      </c>
      <c r="D44" s="20" t="n">
        <v>-5385</v>
      </c>
      <c r="E44" s="20" t="n">
        <v>-1584</v>
      </c>
      <c r="F44" s="20" t="n">
        <v>574</v>
      </c>
      <c r="G44" s="20" t="n">
        <v>-4948</v>
      </c>
      <c r="H44" s="20" t="n">
        <v>-120</v>
      </c>
      <c r="I44" s="20" t="n">
        <v>227</v>
      </c>
      <c r="J44" s="20" t="n">
        <v>466</v>
      </c>
      <c r="K44" s="20" t="n">
        <v>914</v>
      </c>
      <c r="L44" s="21">
        <f>ABS(C44)</f>
        <v/>
      </c>
      <c r="M44" s="21">
        <f>ABS(D44)</f>
        <v/>
      </c>
      <c r="N44" s="22">
        <f>(C44-AVERAGE(C$4:C$213))/STDEVP(C$4:C$213)</f>
        <v/>
      </c>
      <c r="O44" s="23">
        <f>L44/MEDIAN(L$4:L$213)</f>
        <v/>
      </c>
      <c r="P44" s="24">
        <f>IF(N44&gt;=요약!$C$5,"대량매수",IF(N44&lt;=-요약!$C$5,"대량매도",""))</f>
        <v/>
      </c>
      <c r="Q44" s="22">
        <f>(D44-AVERAGE(D$4:D$213))/STDEVP(D$4:D$213)</f>
        <v/>
      </c>
      <c r="R44" s="23">
        <f>M44/MEDIAN(M$4:M$213)</f>
        <v/>
      </c>
      <c r="S44" s="24">
        <f>IF(Q44&gt;=요약!$C$5,"대량매수",IF(Q44&lt;=-요약!$C$5,"대량매도",""))</f>
        <v/>
      </c>
    </row>
    <row r="45">
      <c r="A45" s="19" t="n">
        <v>46237</v>
      </c>
      <c r="B45" s="20" t="n">
        <v>46523</v>
      </c>
      <c r="C45" s="20" t="n">
        <v>-28220</v>
      </c>
      <c r="D45" s="20" t="n">
        <v>-19516</v>
      </c>
      <c r="E45" s="20" t="n">
        <v>-15601</v>
      </c>
      <c r="F45" s="20" t="n">
        <v>588</v>
      </c>
      <c r="G45" s="20" t="n">
        <v>-4713</v>
      </c>
      <c r="H45" s="20" t="n">
        <v>94</v>
      </c>
      <c r="I45" s="20" t="n">
        <v>320</v>
      </c>
      <c r="J45" s="20" t="n">
        <v>-204</v>
      </c>
      <c r="K45" s="20" t="n">
        <v>1213</v>
      </c>
      <c r="L45" s="21">
        <f>ABS(C45)</f>
        <v/>
      </c>
      <c r="M45" s="21">
        <f>ABS(D45)</f>
        <v/>
      </c>
      <c r="N45" s="22">
        <f>(C45-AVERAGE(C$4:C$213))/STDEVP(C$4:C$213)</f>
        <v/>
      </c>
      <c r="O45" s="23">
        <f>L45/MEDIAN(L$4:L$213)</f>
        <v/>
      </c>
      <c r="P45" s="24">
        <f>IF(N45&gt;=요약!$C$5,"대량매수",IF(N45&lt;=-요약!$C$5,"대량매도",""))</f>
        <v/>
      </c>
      <c r="Q45" s="22">
        <f>(D45-AVERAGE(D$4:D$213))/STDEVP(D$4:D$213)</f>
        <v/>
      </c>
      <c r="R45" s="23">
        <f>M45/MEDIAN(M$4:M$213)</f>
        <v/>
      </c>
      <c r="S45" s="24">
        <f>IF(Q45&gt;=요약!$C$5,"대량매수",IF(Q45&lt;=-요약!$C$5,"대량매도",""))</f>
        <v/>
      </c>
    </row>
    <row r="46">
      <c r="A46" s="19" t="n">
        <v>46234</v>
      </c>
      <c r="B46" s="20" t="n">
        <v>-82840</v>
      </c>
      <c r="C46" s="20" t="n">
        <v>72410</v>
      </c>
      <c r="D46" s="20" t="n">
        <v>11503</v>
      </c>
      <c r="E46" s="20" t="n">
        <v>-6663</v>
      </c>
      <c r="F46" s="20" t="n">
        <v>-1071</v>
      </c>
      <c r="G46" s="20" t="n">
        <v>17194</v>
      </c>
      <c r="H46" s="20" t="n">
        <v>-35</v>
      </c>
      <c r="I46" s="20" t="n">
        <v>431</v>
      </c>
      <c r="J46" s="20" t="n">
        <v>1647</v>
      </c>
      <c r="K46" s="20" t="n">
        <v>-1073</v>
      </c>
      <c r="L46" s="21">
        <f>ABS(C46)</f>
        <v/>
      </c>
      <c r="M46" s="21">
        <f>ABS(D46)</f>
        <v/>
      </c>
      <c r="N46" s="22">
        <f>(C46-AVERAGE(C$4:C$213))/STDEVP(C$4:C$213)</f>
        <v/>
      </c>
      <c r="O46" s="23">
        <f>L46/MEDIAN(L$4:L$213)</f>
        <v/>
      </c>
      <c r="P46" s="24">
        <f>IF(N46&gt;=요약!$C$5,"대량매수",IF(N46&lt;=-요약!$C$5,"대량매도",""))</f>
        <v/>
      </c>
      <c r="Q46" s="22">
        <f>(D46-AVERAGE(D$4:D$213))/STDEVP(D$4:D$213)</f>
        <v/>
      </c>
      <c r="R46" s="23">
        <f>M46/MEDIAN(M$4:M$213)</f>
        <v/>
      </c>
      <c r="S46" s="24">
        <f>IF(Q46&gt;=요약!$C$5,"대량매수",IF(Q46&lt;=-요약!$C$5,"대량매도",""))</f>
        <v/>
      </c>
    </row>
    <row r="47">
      <c r="A47" s="19" t="n">
        <v>46233</v>
      </c>
      <c r="B47" s="20" t="n">
        <v>-14309</v>
      </c>
      <c r="C47" s="20" t="n">
        <v>13280</v>
      </c>
      <c r="D47" s="20" t="n">
        <v>805</v>
      </c>
      <c r="E47" s="20" t="n">
        <v>-2713</v>
      </c>
      <c r="F47" s="20" t="n">
        <v>1053</v>
      </c>
      <c r="G47" s="20" t="n">
        <v>-1371</v>
      </c>
      <c r="H47" s="20" t="n">
        <v>-164</v>
      </c>
      <c r="I47" s="20" t="n">
        <v>199</v>
      </c>
      <c r="J47" s="20" t="n">
        <v>3802</v>
      </c>
      <c r="K47" s="20" t="n">
        <v>224</v>
      </c>
      <c r="L47" s="21">
        <f>ABS(C47)</f>
        <v/>
      </c>
      <c r="M47" s="21">
        <f>ABS(D47)</f>
        <v/>
      </c>
      <c r="N47" s="22">
        <f>(C47-AVERAGE(C$4:C$213))/STDEVP(C$4:C$213)</f>
        <v/>
      </c>
      <c r="O47" s="23">
        <f>L47/MEDIAN(L$4:L$213)</f>
        <v/>
      </c>
      <c r="P47" s="24">
        <f>IF(N47&gt;=요약!$C$5,"대량매수",IF(N47&lt;=-요약!$C$5,"대량매도",""))</f>
        <v/>
      </c>
      <c r="Q47" s="22">
        <f>(D47-AVERAGE(D$4:D$213))/STDEVP(D$4:D$213)</f>
        <v/>
      </c>
      <c r="R47" s="23">
        <f>M47/MEDIAN(M$4:M$213)</f>
        <v/>
      </c>
      <c r="S47" s="24">
        <f>IF(Q47&gt;=요약!$C$5,"대량매수",IF(Q47&lt;=-요약!$C$5,"대량매도",""))</f>
        <v/>
      </c>
    </row>
    <row r="48">
      <c r="A48" s="19" t="n">
        <v>46232</v>
      </c>
      <c r="B48" s="20" t="n">
        <v>-19701</v>
      </c>
      <c r="C48" s="20" t="n">
        <v>-12502</v>
      </c>
      <c r="D48" s="20" t="n">
        <v>31769</v>
      </c>
      <c r="E48" s="20" t="n">
        <v>18563</v>
      </c>
      <c r="F48" s="20" t="n">
        <v>1260</v>
      </c>
      <c r="G48" s="20" t="n">
        <v>8639</v>
      </c>
      <c r="H48" s="20" t="n">
        <v>-126</v>
      </c>
      <c r="I48" s="20" t="n">
        <v>53</v>
      </c>
      <c r="J48" s="20" t="n">
        <v>3381</v>
      </c>
      <c r="K48" s="20" t="n">
        <v>434</v>
      </c>
      <c r="L48" s="21">
        <f>ABS(C48)</f>
        <v/>
      </c>
      <c r="M48" s="21">
        <f>ABS(D48)</f>
        <v/>
      </c>
      <c r="N48" s="22">
        <f>(C48-AVERAGE(C$4:C$213))/STDEVP(C$4:C$213)</f>
        <v/>
      </c>
      <c r="O48" s="23">
        <f>L48/MEDIAN(L$4:L$213)</f>
        <v/>
      </c>
      <c r="P48" s="24">
        <f>IF(N48&gt;=요약!$C$5,"대량매수",IF(N48&lt;=-요약!$C$5,"대량매도",""))</f>
        <v/>
      </c>
      <c r="Q48" s="22">
        <f>(D48-AVERAGE(D$4:D$213))/STDEVP(D$4:D$213)</f>
        <v/>
      </c>
      <c r="R48" s="23">
        <f>M48/MEDIAN(M$4:M$213)</f>
        <v/>
      </c>
      <c r="S48" s="24">
        <f>IF(Q48&gt;=요약!$C$5,"대량매수",IF(Q48&lt;=-요약!$C$5,"대량매도",""))</f>
        <v/>
      </c>
    </row>
    <row r="49">
      <c r="A49" s="19" t="n">
        <v>46231</v>
      </c>
      <c r="B49" s="20" t="n">
        <v>43152</v>
      </c>
      <c r="C49" s="20" t="n">
        <v>-45009</v>
      </c>
      <c r="D49" s="20" t="n">
        <v>1830</v>
      </c>
      <c r="E49" s="20" t="n">
        <v>6947</v>
      </c>
      <c r="F49" s="20" t="n">
        <v>213</v>
      </c>
      <c r="G49" s="20" t="n">
        <v>-6301</v>
      </c>
      <c r="H49" s="20" t="n">
        <v>-184</v>
      </c>
      <c r="I49" s="20" t="n">
        <v>-10</v>
      </c>
      <c r="J49" s="20" t="n">
        <v>1165</v>
      </c>
      <c r="K49" s="20" t="n">
        <v>26</v>
      </c>
      <c r="L49" s="21">
        <f>ABS(C49)</f>
        <v/>
      </c>
      <c r="M49" s="21">
        <f>ABS(D49)</f>
        <v/>
      </c>
      <c r="N49" s="22">
        <f>(C49-AVERAGE(C$4:C$213))/STDEVP(C$4:C$213)</f>
        <v/>
      </c>
      <c r="O49" s="23">
        <f>L49/MEDIAN(L$4:L$213)</f>
        <v/>
      </c>
      <c r="P49" s="24">
        <f>IF(N49&gt;=요약!$C$5,"대량매수",IF(N49&lt;=-요약!$C$5,"대량매도",""))</f>
        <v/>
      </c>
      <c r="Q49" s="22">
        <f>(D49-AVERAGE(D$4:D$213))/STDEVP(D$4:D$213)</f>
        <v/>
      </c>
      <c r="R49" s="23">
        <f>M49/MEDIAN(M$4:M$213)</f>
        <v/>
      </c>
      <c r="S49" s="24">
        <f>IF(Q49&gt;=요약!$C$5,"대량매수",IF(Q49&lt;=-요약!$C$5,"대량매도",""))</f>
        <v/>
      </c>
    </row>
    <row r="50">
      <c r="A50" s="19" t="n">
        <v>46230</v>
      </c>
      <c r="B50" s="20" t="n">
        <v>19788</v>
      </c>
      <c r="C50" s="20" t="n">
        <v>-28811</v>
      </c>
      <c r="D50" s="20" t="n">
        <v>8595</v>
      </c>
      <c r="E50" s="20" t="n">
        <v>4691</v>
      </c>
      <c r="F50" s="20" t="n">
        <v>614</v>
      </c>
      <c r="G50" s="20" t="n">
        <v>4089</v>
      </c>
      <c r="H50" s="20" t="n">
        <v>-70</v>
      </c>
      <c r="I50" s="20" t="n">
        <v>-5</v>
      </c>
      <c r="J50" s="20" t="n">
        <v>-724</v>
      </c>
      <c r="K50" s="20" t="n">
        <v>427</v>
      </c>
      <c r="L50" s="21">
        <f>ABS(C50)</f>
        <v/>
      </c>
      <c r="M50" s="21">
        <f>ABS(D50)</f>
        <v/>
      </c>
      <c r="N50" s="22">
        <f>(C50-AVERAGE(C$4:C$213))/STDEVP(C$4:C$213)</f>
        <v/>
      </c>
      <c r="O50" s="23">
        <f>L50/MEDIAN(L$4:L$213)</f>
        <v/>
      </c>
      <c r="P50" s="24">
        <f>IF(N50&gt;=요약!$C$5,"대량매수",IF(N50&lt;=-요약!$C$5,"대량매도",""))</f>
        <v/>
      </c>
      <c r="Q50" s="22">
        <f>(D50-AVERAGE(D$4:D$213))/STDEVP(D$4:D$213)</f>
        <v/>
      </c>
      <c r="R50" s="23">
        <f>M50/MEDIAN(M$4:M$213)</f>
        <v/>
      </c>
      <c r="S50" s="24">
        <f>IF(Q50&gt;=요약!$C$5,"대량매수",IF(Q50&lt;=-요약!$C$5,"대량매도",""))</f>
        <v/>
      </c>
    </row>
    <row r="51">
      <c r="A51" s="19" t="n">
        <v>46227</v>
      </c>
      <c r="B51" s="20" t="n">
        <v>51782</v>
      </c>
      <c r="C51" s="20" t="n">
        <v>-32683</v>
      </c>
      <c r="D51" s="20" t="n">
        <v>-19514</v>
      </c>
      <c r="E51" s="20" t="n">
        <v>-8740</v>
      </c>
      <c r="F51" s="20" t="n">
        <v>-1753</v>
      </c>
      <c r="G51" s="20" t="n">
        <v>-9393</v>
      </c>
      <c r="H51" s="20" t="n">
        <v>12</v>
      </c>
      <c r="I51" s="20" t="n">
        <v>33</v>
      </c>
      <c r="J51" s="20" t="n">
        <v>326</v>
      </c>
      <c r="K51" s="20" t="n">
        <v>416</v>
      </c>
      <c r="L51" s="21">
        <f>ABS(C51)</f>
        <v/>
      </c>
      <c r="M51" s="21">
        <f>ABS(D51)</f>
        <v/>
      </c>
      <c r="N51" s="22">
        <f>(C51-AVERAGE(C$4:C$213))/STDEVP(C$4:C$213)</f>
        <v/>
      </c>
      <c r="O51" s="23">
        <f>L51/MEDIAN(L$4:L$213)</f>
        <v/>
      </c>
      <c r="P51" s="24">
        <f>IF(N51&gt;=요약!$C$5,"대량매수",IF(N51&lt;=-요약!$C$5,"대량매도",""))</f>
        <v/>
      </c>
      <c r="Q51" s="22">
        <f>(D51-AVERAGE(D$4:D$213))/STDEVP(D$4:D$213)</f>
        <v/>
      </c>
      <c r="R51" s="23">
        <f>M51/MEDIAN(M$4:M$213)</f>
        <v/>
      </c>
      <c r="S51" s="24">
        <f>IF(Q51&gt;=요약!$C$5,"대량매수",IF(Q51&lt;=-요약!$C$5,"대량매도",""))</f>
        <v/>
      </c>
    </row>
    <row r="52">
      <c r="A52" s="19" t="n">
        <v>46226</v>
      </c>
      <c r="B52" s="20" t="n">
        <v>-22077</v>
      </c>
      <c r="C52" s="20" t="n">
        <v>21359</v>
      </c>
      <c r="D52" s="20" t="n">
        <v>976</v>
      </c>
      <c r="E52" s="20" t="n">
        <v>-10139</v>
      </c>
      <c r="F52" s="20" t="n">
        <v>261</v>
      </c>
      <c r="G52" s="20" t="n">
        <v>10118</v>
      </c>
      <c r="H52" s="20" t="n">
        <v>43</v>
      </c>
      <c r="I52" s="20" t="n">
        <v>-49</v>
      </c>
      <c r="J52" s="20" t="n">
        <v>741</v>
      </c>
      <c r="K52" s="20" t="n">
        <v>-257</v>
      </c>
      <c r="L52" s="21">
        <f>ABS(C52)</f>
        <v/>
      </c>
      <c r="M52" s="21">
        <f>ABS(D52)</f>
        <v/>
      </c>
      <c r="N52" s="22">
        <f>(C52-AVERAGE(C$4:C$213))/STDEVP(C$4:C$213)</f>
        <v/>
      </c>
      <c r="O52" s="23">
        <f>L52/MEDIAN(L$4:L$213)</f>
        <v/>
      </c>
      <c r="P52" s="24">
        <f>IF(N52&gt;=요약!$C$5,"대량매수",IF(N52&lt;=-요약!$C$5,"대량매도",""))</f>
        <v/>
      </c>
      <c r="Q52" s="22">
        <f>(D52-AVERAGE(D$4:D$213))/STDEVP(D$4:D$213)</f>
        <v/>
      </c>
      <c r="R52" s="23">
        <f>M52/MEDIAN(M$4:M$213)</f>
        <v/>
      </c>
      <c r="S52" s="24">
        <f>IF(Q52&gt;=요약!$C$5,"대량매수",IF(Q52&lt;=-요약!$C$5,"대량매도",""))</f>
        <v/>
      </c>
    </row>
    <row r="53">
      <c r="A53" s="19" t="n">
        <v>46225</v>
      </c>
      <c r="B53" s="20" t="n">
        <v>-12176</v>
      </c>
      <c r="C53" s="20" t="n">
        <v>26211</v>
      </c>
      <c r="D53" s="20" t="n">
        <v>-13963</v>
      </c>
      <c r="E53" s="20" t="n">
        <v>-9758</v>
      </c>
      <c r="F53" s="20" t="n">
        <v>162</v>
      </c>
      <c r="G53" s="20" t="n">
        <v>-3670</v>
      </c>
      <c r="H53" s="20" t="n">
        <v>-3</v>
      </c>
      <c r="I53" s="20" t="n">
        <v>12</v>
      </c>
      <c r="J53" s="20" t="n">
        <v>-706</v>
      </c>
      <c r="K53" s="20" t="n">
        <v>-72</v>
      </c>
      <c r="L53" s="21">
        <f>ABS(C53)</f>
        <v/>
      </c>
      <c r="M53" s="21">
        <f>ABS(D53)</f>
        <v/>
      </c>
      <c r="N53" s="22">
        <f>(C53-AVERAGE(C$4:C$213))/STDEVP(C$4:C$213)</f>
        <v/>
      </c>
      <c r="O53" s="23">
        <f>L53/MEDIAN(L$4:L$213)</f>
        <v/>
      </c>
      <c r="P53" s="24">
        <f>IF(N53&gt;=요약!$C$5,"대량매수",IF(N53&lt;=-요약!$C$5,"대량매도",""))</f>
        <v/>
      </c>
      <c r="Q53" s="22">
        <f>(D53-AVERAGE(D$4:D$213))/STDEVP(D$4:D$213)</f>
        <v/>
      </c>
      <c r="R53" s="23">
        <f>M53/MEDIAN(M$4:M$213)</f>
        <v/>
      </c>
      <c r="S53" s="24">
        <f>IF(Q53&gt;=요약!$C$5,"대량매수",IF(Q53&lt;=-요약!$C$5,"대량매도",""))</f>
        <v/>
      </c>
    </row>
    <row r="54">
      <c r="A54" s="19" t="n">
        <v>46224</v>
      </c>
      <c r="B54" s="20" t="n">
        <v>-16421</v>
      </c>
      <c r="C54" s="20" t="n">
        <v>2952</v>
      </c>
      <c r="D54" s="20" t="n">
        <v>13744</v>
      </c>
      <c r="E54" s="20" t="n">
        <v>8891</v>
      </c>
      <c r="F54" s="20" t="n">
        <v>1157</v>
      </c>
      <c r="G54" s="20" t="n">
        <v>3158</v>
      </c>
      <c r="H54" s="20" t="n">
        <v>4</v>
      </c>
      <c r="I54" s="20" t="n">
        <v>-66</v>
      </c>
      <c r="J54" s="20" t="n">
        <v>600</v>
      </c>
      <c r="K54" s="20" t="n">
        <v>-275</v>
      </c>
      <c r="L54" s="21">
        <f>ABS(C54)</f>
        <v/>
      </c>
      <c r="M54" s="21">
        <f>ABS(D54)</f>
        <v/>
      </c>
      <c r="N54" s="22">
        <f>(C54-AVERAGE(C$4:C$213))/STDEVP(C$4:C$213)</f>
        <v/>
      </c>
      <c r="O54" s="23">
        <f>L54/MEDIAN(L$4:L$213)</f>
        <v/>
      </c>
      <c r="P54" s="24">
        <f>IF(N54&gt;=요약!$C$5,"대량매수",IF(N54&lt;=-요약!$C$5,"대량매도",""))</f>
        <v/>
      </c>
      <c r="Q54" s="22">
        <f>(D54-AVERAGE(D$4:D$213))/STDEVP(D$4:D$213)</f>
        <v/>
      </c>
      <c r="R54" s="23">
        <f>M54/MEDIAN(M$4:M$213)</f>
        <v/>
      </c>
      <c r="S54" s="24">
        <f>IF(Q54&gt;=요약!$C$5,"대량매수",IF(Q54&lt;=-요약!$C$5,"대량매도",""))</f>
        <v/>
      </c>
    </row>
    <row r="55">
      <c r="A55" s="19" t="n">
        <v>46223</v>
      </c>
      <c r="B55" s="20" t="n">
        <v>3490</v>
      </c>
      <c r="C55" s="20" t="n">
        <v>5198</v>
      </c>
      <c r="D55" s="20" t="n">
        <v>-9235</v>
      </c>
      <c r="E55" s="20" t="n">
        <v>-4931</v>
      </c>
      <c r="F55" s="20" t="n">
        <v>584</v>
      </c>
      <c r="G55" s="20" t="n">
        <v>-5576</v>
      </c>
      <c r="H55" s="20" t="n">
        <v>-7</v>
      </c>
      <c r="I55" s="20" t="n">
        <v>-48</v>
      </c>
      <c r="J55" s="20" t="n">
        <v>743</v>
      </c>
      <c r="K55" s="20" t="n">
        <v>547</v>
      </c>
      <c r="L55" s="21">
        <f>ABS(C55)</f>
        <v/>
      </c>
      <c r="M55" s="21">
        <f>ABS(D55)</f>
        <v/>
      </c>
      <c r="N55" s="22">
        <f>(C55-AVERAGE(C$4:C$213))/STDEVP(C$4:C$213)</f>
        <v/>
      </c>
      <c r="O55" s="23">
        <f>L55/MEDIAN(L$4:L$213)</f>
        <v/>
      </c>
      <c r="P55" s="24">
        <f>IF(N55&gt;=요약!$C$5,"대량매수",IF(N55&lt;=-요약!$C$5,"대량매도",""))</f>
        <v/>
      </c>
      <c r="Q55" s="22">
        <f>(D55-AVERAGE(D$4:D$213))/STDEVP(D$4:D$213)</f>
        <v/>
      </c>
      <c r="R55" s="23">
        <f>M55/MEDIAN(M$4:M$213)</f>
        <v/>
      </c>
      <c r="S55" s="24">
        <f>IF(Q55&gt;=요약!$C$5,"대량매수",IF(Q55&lt;=-요약!$C$5,"대량매도",""))</f>
        <v/>
      </c>
    </row>
    <row r="56">
      <c r="A56" s="19" t="n">
        <v>46219</v>
      </c>
      <c r="B56" s="20" t="n">
        <v>36647</v>
      </c>
      <c r="C56" s="20" t="n">
        <v>-13665</v>
      </c>
      <c r="D56" s="20" t="n">
        <v>-23831</v>
      </c>
      <c r="E56" s="20" t="n">
        <v>-15258</v>
      </c>
      <c r="F56" s="20" t="n">
        <v>-545</v>
      </c>
      <c r="G56" s="20" t="n">
        <v>-8648</v>
      </c>
      <c r="H56" s="20" t="n">
        <v>6</v>
      </c>
      <c r="I56" s="20" t="n">
        <v>24</v>
      </c>
      <c r="J56" s="20" t="n">
        <v>592</v>
      </c>
      <c r="K56" s="20" t="n">
        <v>849</v>
      </c>
      <c r="L56" s="21">
        <f>ABS(C56)</f>
        <v/>
      </c>
      <c r="M56" s="21">
        <f>ABS(D56)</f>
        <v/>
      </c>
      <c r="N56" s="22">
        <f>(C56-AVERAGE(C$4:C$213))/STDEVP(C$4:C$213)</f>
        <v/>
      </c>
      <c r="O56" s="23">
        <f>L56/MEDIAN(L$4:L$213)</f>
        <v/>
      </c>
      <c r="P56" s="24">
        <f>IF(N56&gt;=요약!$C$5,"대량매수",IF(N56&lt;=-요약!$C$5,"대량매도",""))</f>
        <v/>
      </c>
      <c r="Q56" s="22">
        <f>(D56-AVERAGE(D$4:D$213))/STDEVP(D$4:D$213)</f>
        <v/>
      </c>
      <c r="R56" s="23">
        <f>M56/MEDIAN(M$4:M$213)</f>
        <v/>
      </c>
      <c r="S56" s="24">
        <f>IF(Q56&gt;=요약!$C$5,"대량매수",IF(Q56&lt;=-요약!$C$5,"대량매도",""))</f>
        <v/>
      </c>
    </row>
    <row r="57">
      <c r="A57" s="19" t="n">
        <v>46218</v>
      </c>
      <c r="B57" s="20" t="n">
        <v>-24666</v>
      </c>
      <c r="C57" s="20" t="n">
        <v>23031</v>
      </c>
      <c r="D57" s="20" t="n">
        <v>1992</v>
      </c>
      <c r="E57" s="20" t="n">
        <v>-8431</v>
      </c>
      <c r="F57" s="20" t="n">
        <v>-421</v>
      </c>
      <c r="G57" s="20" t="n">
        <v>10538</v>
      </c>
      <c r="H57" s="20" t="n">
        <v>39</v>
      </c>
      <c r="I57" s="20" t="n">
        <v>62</v>
      </c>
      <c r="J57" s="20" t="n">
        <v>205</v>
      </c>
      <c r="K57" s="20" t="n">
        <v>-357</v>
      </c>
      <c r="L57" s="21">
        <f>ABS(C57)</f>
        <v/>
      </c>
      <c r="M57" s="21">
        <f>ABS(D57)</f>
        <v/>
      </c>
      <c r="N57" s="22">
        <f>(C57-AVERAGE(C$4:C$213))/STDEVP(C$4:C$213)</f>
        <v/>
      </c>
      <c r="O57" s="23">
        <f>L57/MEDIAN(L$4:L$213)</f>
        <v/>
      </c>
      <c r="P57" s="24">
        <f>IF(N57&gt;=요약!$C$5,"대량매수",IF(N57&lt;=-요약!$C$5,"대량매도",""))</f>
        <v/>
      </c>
      <c r="Q57" s="22">
        <f>(D57-AVERAGE(D$4:D$213))/STDEVP(D$4:D$213)</f>
        <v/>
      </c>
      <c r="R57" s="23">
        <f>M57/MEDIAN(M$4:M$213)</f>
        <v/>
      </c>
      <c r="S57" s="24">
        <f>IF(Q57&gt;=요약!$C$5,"대량매수",IF(Q57&lt;=-요약!$C$5,"대량매도",""))</f>
        <v/>
      </c>
    </row>
    <row r="58">
      <c r="A58" s="19" t="n">
        <v>46217</v>
      </c>
      <c r="B58" s="20" t="n">
        <v>-41411</v>
      </c>
      <c r="C58" s="20" t="n">
        <v>9565</v>
      </c>
      <c r="D58" s="20" t="n">
        <v>32117</v>
      </c>
      <c r="E58" s="20" t="n">
        <v>18926</v>
      </c>
      <c r="F58" s="20" t="n">
        <v>1508</v>
      </c>
      <c r="G58" s="20" t="n">
        <v>11264</v>
      </c>
      <c r="H58" s="20" t="n">
        <v>-344</v>
      </c>
      <c r="I58" s="20" t="n">
        <v>-106</v>
      </c>
      <c r="J58" s="20" t="n">
        <v>868</v>
      </c>
      <c r="K58" s="20" t="n">
        <v>-271</v>
      </c>
      <c r="L58" s="21">
        <f>ABS(C58)</f>
        <v/>
      </c>
      <c r="M58" s="21">
        <f>ABS(D58)</f>
        <v/>
      </c>
      <c r="N58" s="22">
        <f>(C58-AVERAGE(C$4:C$213))/STDEVP(C$4:C$213)</f>
        <v/>
      </c>
      <c r="O58" s="23">
        <f>L58/MEDIAN(L$4:L$213)</f>
        <v/>
      </c>
      <c r="P58" s="24">
        <f>IF(N58&gt;=요약!$C$5,"대량매수",IF(N58&lt;=-요약!$C$5,"대량매도",""))</f>
        <v/>
      </c>
      <c r="Q58" s="22">
        <f>(D58-AVERAGE(D$4:D$213))/STDEVP(D$4:D$213)</f>
        <v/>
      </c>
      <c r="R58" s="23">
        <f>M58/MEDIAN(M$4:M$213)</f>
        <v/>
      </c>
      <c r="S58" s="24">
        <f>IF(Q58&gt;=요약!$C$5,"대량매수",IF(Q58&lt;=-요약!$C$5,"대량매도",""))</f>
        <v/>
      </c>
    </row>
    <row r="59">
      <c r="A59" s="19" t="n">
        <v>46216</v>
      </c>
      <c r="B59" s="20" t="n">
        <v>38869</v>
      </c>
      <c r="C59" s="20" t="n">
        <v>-16705</v>
      </c>
      <c r="D59" s="20" t="n">
        <v>-22338</v>
      </c>
      <c r="E59" s="20" t="n">
        <v>-328</v>
      </c>
      <c r="F59" s="20" t="n">
        <v>67</v>
      </c>
      <c r="G59" s="20" t="n">
        <v>-21361</v>
      </c>
      <c r="H59" s="20" t="n">
        <v>-562</v>
      </c>
      <c r="I59" s="20" t="n">
        <v>508</v>
      </c>
      <c r="J59" s="20" t="n">
        <v>-662</v>
      </c>
      <c r="K59" s="20" t="n">
        <v>175</v>
      </c>
      <c r="L59" s="21">
        <f>ABS(C59)</f>
        <v/>
      </c>
      <c r="M59" s="21">
        <f>ABS(D59)</f>
        <v/>
      </c>
      <c r="N59" s="22">
        <f>(C59-AVERAGE(C$4:C$213))/STDEVP(C$4:C$213)</f>
        <v/>
      </c>
      <c r="O59" s="23">
        <f>L59/MEDIAN(L$4:L$213)</f>
        <v/>
      </c>
      <c r="P59" s="24">
        <f>IF(N59&gt;=요약!$C$5,"대량매수",IF(N59&lt;=-요약!$C$5,"대량매도",""))</f>
        <v/>
      </c>
      <c r="Q59" s="22">
        <f>(D59-AVERAGE(D$4:D$213))/STDEVP(D$4:D$213)</f>
        <v/>
      </c>
      <c r="R59" s="23">
        <f>M59/MEDIAN(M$4:M$213)</f>
        <v/>
      </c>
      <c r="S59" s="24">
        <f>IF(Q59&gt;=요약!$C$5,"대량매수",IF(Q59&lt;=-요약!$C$5,"대량매도",""))</f>
        <v/>
      </c>
    </row>
    <row r="60">
      <c r="A60" s="19" t="n">
        <v>46213</v>
      </c>
      <c r="B60" s="20" t="n">
        <v>-7805</v>
      </c>
      <c r="C60" s="20" t="n">
        <v>-3228</v>
      </c>
      <c r="D60" s="20" t="n">
        <v>11314</v>
      </c>
      <c r="E60" s="20" t="n">
        <v>11349</v>
      </c>
      <c r="F60" s="20" t="n">
        <v>579</v>
      </c>
      <c r="G60" s="20" t="n">
        <v>-1498</v>
      </c>
      <c r="H60" s="20" t="n">
        <v>69</v>
      </c>
      <c r="I60" s="20" t="n">
        <v>460</v>
      </c>
      <c r="J60" s="20" t="n">
        <v>355</v>
      </c>
      <c r="K60" s="20" t="n">
        <v>-282</v>
      </c>
      <c r="L60" s="21">
        <f>ABS(C60)</f>
        <v/>
      </c>
      <c r="M60" s="21">
        <f>ABS(D60)</f>
        <v/>
      </c>
      <c r="N60" s="22">
        <f>(C60-AVERAGE(C$4:C$213))/STDEVP(C$4:C$213)</f>
        <v/>
      </c>
      <c r="O60" s="23">
        <f>L60/MEDIAN(L$4:L$213)</f>
        <v/>
      </c>
      <c r="P60" s="24">
        <f>IF(N60&gt;=요약!$C$5,"대량매수",IF(N60&lt;=-요약!$C$5,"대량매도",""))</f>
        <v/>
      </c>
      <c r="Q60" s="22">
        <f>(D60-AVERAGE(D$4:D$213))/STDEVP(D$4:D$213)</f>
        <v/>
      </c>
      <c r="R60" s="23">
        <f>M60/MEDIAN(M$4:M$213)</f>
        <v/>
      </c>
      <c r="S60" s="24">
        <f>IF(Q60&gt;=요약!$C$5,"대량매수",IF(Q60&lt;=-요약!$C$5,"대량매도",""))</f>
        <v/>
      </c>
    </row>
    <row r="61">
      <c r="A61" s="19" t="n">
        <v>46212</v>
      </c>
      <c r="B61" s="20" t="n">
        <v>-13278</v>
      </c>
      <c r="C61" s="20" t="n">
        <v>1343</v>
      </c>
      <c r="D61" s="20" t="n">
        <v>12885</v>
      </c>
      <c r="E61" s="20" t="n">
        <v>2822</v>
      </c>
      <c r="F61" s="20" t="n">
        <v>950</v>
      </c>
      <c r="G61" s="20" t="n">
        <v>7921</v>
      </c>
      <c r="H61" s="20" t="n">
        <v>1</v>
      </c>
      <c r="I61" s="20" t="n">
        <v>454</v>
      </c>
      <c r="J61" s="20" t="n">
        <v>736</v>
      </c>
      <c r="K61" s="20" t="n">
        <v>-950</v>
      </c>
      <c r="L61" s="21">
        <f>ABS(C61)</f>
        <v/>
      </c>
      <c r="M61" s="21">
        <f>ABS(D61)</f>
        <v/>
      </c>
      <c r="N61" s="22">
        <f>(C61-AVERAGE(C$4:C$213))/STDEVP(C$4:C$213)</f>
        <v/>
      </c>
      <c r="O61" s="23">
        <f>L61/MEDIAN(L$4:L$213)</f>
        <v/>
      </c>
      <c r="P61" s="24">
        <f>IF(N61&gt;=요약!$C$5,"대량매수",IF(N61&lt;=-요약!$C$5,"대량매도",""))</f>
        <v/>
      </c>
      <c r="Q61" s="22">
        <f>(D61-AVERAGE(D$4:D$213))/STDEVP(D$4:D$213)</f>
        <v/>
      </c>
      <c r="R61" s="23">
        <f>M61/MEDIAN(M$4:M$213)</f>
        <v/>
      </c>
      <c r="S61" s="24">
        <f>IF(Q61&gt;=요약!$C$5,"대량매수",IF(Q61&lt;=-요약!$C$5,"대량매도",""))</f>
        <v/>
      </c>
    </row>
    <row r="62">
      <c r="A62" s="19" t="n">
        <v>46211</v>
      </c>
      <c r="B62" s="20" t="n">
        <v>-358</v>
      </c>
      <c r="C62" s="20" t="n">
        <v>3437</v>
      </c>
      <c r="D62" s="20" t="n">
        <v>-3552</v>
      </c>
      <c r="E62" s="20" t="n">
        <v>1605</v>
      </c>
      <c r="F62" s="20" t="n">
        <v>477</v>
      </c>
      <c r="G62" s="20" t="n">
        <v>-5050</v>
      </c>
      <c r="H62" s="20" t="n">
        <v>-56</v>
      </c>
      <c r="I62" s="20" t="n">
        <v>423</v>
      </c>
      <c r="J62" s="20" t="n">
        <v>-950</v>
      </c>
      <c r="K62" s="20" t="n">
        <v>473</v>
      </c>
      <c r="L62" s="21">
        <f>ABS(C62)</f>
        <v/>
      </c>
      <c r="M62" s="21">
        <f>ABS(D62)</f>
        <v/>
      </c>
      <c r="N62" s="22">
        <f>(C62-AVERAGE(C$4:C$213))/STDEVP(C$4:C$213)</f>
        <v/>
      </c>
      <c r="O62" s="23">
        <f>L62/MEDIAN(L$4:L$213)</f>
        <v/>
      </c>
      <c r="P62" s="24">
        <f>IF(N62&gt;=요약!$C$5,"대량매수",IF(N62&lt;=-요약!$C$5,"대량매도",""))</f>
        <v/>
      </c>
      <c r="Q62" s="22">
        <f>(D62-AVERAGE(D$4:D$213))/STDEVP(D$4:D$213)</f>
        <v/>
      </c>
      <c r="R62" s="23">
        <f>M62/MEDIAN(M$4:M$213)</f>
        <v/>
      </c>
      <c r="S62" s="24">
        <f>IF(Q62&gt;=요약!$C$5,"대량매수",IF(Q62&lt;=-요약!$C$5,"대량매도",""))</f>
        <v/>
      </c>
    </row>
    <row r="63">
      <c r="A63" s="19" t="n">
        <v>46210</v>
      </c>
      <c r="B63" s="20" t="n">
        <v>31359</v>
      </c>
      <c r="C63" s="20" t="n">
        <v>-29172</v>
      </c>
      <c r="D63" s="20" t="n">
        <v>-3108</v>
      </c>
      <c r="E63" s="20" t="n">
        <v>4356</v>
      </c>
      <c r="F63" s="20" t="n">
        <v>437</v>
      </c>
      <c r="G63" s="20" t="n">
        <v>-8590</v>
      </c>
      <c r="H63" s="20" t="n">
        <v>-57</v>
      </c>
      <c r="I63" s="20" t="n">
        <v>462</v>
      </c>
      <c r="J63" s="20" t="n">
        <v>285</v>
      </c>
      <c r="K63" s="20" t="n">
        <v>921</v>
      </c>
      <c r="L63" s="21">
        <f>ABS(C63)</f>
        <v/>
      </c>
      <c r="M63" s="21">
        <f>ABS(D63)</f>
        <v/>
      </c>
      <c r="N63" s="22">
        <f>(C63-AVERAGE(C$4:C$213))/STDEVP(C$4:C$213)</f>
        <v/>
      </c>
      <c r="O63" s="23">
        <f>L63/MEDIAN(L$4:L$213)</f>
        <v/>
      </c>
      <c r="P63" s="24">
        <f>IF(N63&gt;=요약!$C$5,"대량매수",IF(N63&lt;=-요약!$C$5,"대량매도",""))</f>
        <v/>
      </c>
      <c r="Q63" s="22">
        <f>(D63-AVERAGE(D$4:D$213))/STDEVP(D$4:D$213)</f>
        <v/>
      </c>
      <c r="R63" s="23">
        <f>M63/MEDIAN(M$4:M$213)</f>
        <v/>
      </c>
      <c r="S63" s="24">
        <f>IF(Q63&gt;=요약!$C$5,"대량매수",IF(Q63&lt;=-요약!$C$5,"대량매도",""))</f>
        <v/>
      </c>
    </row>
    <row r="64">
      <c r="A64" s="19" t="n">
        <v>46209</v>
      </c>
      <c r="B64" s="20" t="n">
        <v>26829</v>
      </c>
      <c r="C64" s="20" t="n">
        <v>-13144</v>
      </c>
      <c r="D64" s="20" t="n">
        <v>-14618</v>
      </c>
      <c r="E64" s="20" t="n">
        <v>-14299</v>
      </c>
      <c r="F64" s="20" t="n">
        <v>-129</v>
      </c>
      <c r="G64" s="20" t="n">
        <v>-516</v>
      </c>
      <c r="H64" s="20" t="n">
        <v>126</v>
      </c>
      <c r="I64" s="20" t="n">
        <v>538</v>
      </c>
      <c r="J64" s="20" t="n">
        <v>-338</v>
      </c>
      <c r="K64" s="20" t="n">
        <v>933</v>
      </c>
      <c r="L64" s="21">
        <f>ABS(C64)</f>
        <v/>
      </c>
      <c r="M64" s="21">
        <f>ABS(D64)</f>
        <v/>
      </c>
      <c r="N64" s="22">
        <f>(C64-AVERAGE(C$4:C$213))/STDEVP(C$4:C$213)</f>
        <v/>
      </c>
      <c r="O64" s="23">
        <f>L64/MEDIAN(L$4:L$213)</f>
        <v/>
      </c>
      <c r="P64" s="24">
        <f>IF(N64&gt;=요약!$C$5,"대량매수",IF(N64&lt;=-요약!$C$5,"대량매도",""))</f>
        <v/>
      </c>
      <c r="Q64" s="22">
        <f>(D64-AVERAGE(D$4:D$213))/STDEVP(D$4:D$213)</f>
        <v/>
      </c>
      <c r="R64" s="23">
        <f>M64/MEDIAN(M$4:M$213)</f>
        <v/>
      </c>
      <c r="S64" s="24">
        <f>IF(Q64&gt;=요약!$C$5,"대량매수",IF(Q64&lt;=-요약!$C$5,"대량매도",""))</f>
        <v/>
      </c>
    </row>
    <row r="65">
      <c r="A65" s="19" t="n">
        <v>46206</v>
      </c>
      <c r="B65" s="20" t="n">
        <v>-22942</v>
      </c>
      <c r="C65" s="20" t="n">
        <v>-21750</v>
      </c>
      <c r="D65" s="20" t="n">
        <v>44079</v>
      </c>
      <c r="E65" s="20" t="n">
        <v>30153</v>
      </c>
      <c r="F65" s="20" t="n">
        <v>1040</v>
      </c>
      <c r="G65" s="20" t="n">
        <v>11761</v>
      </c>
      <c r="H65" s="20" t="n">
        <v>149</v>
      </c>
      <c r="I65" s="20" t="n">
        <v>413</v>
      </c>
      <c r="J65" s="20" t="n">
        <v>563</v>
      </c>
      <c r="K65" s="20" t="n">
        <v>614</v>
      </c>
      <c r="L65" s="21">
        <f>ABS(C65)</f>
        <v/>
      </c>
      <c r="M65" s="21">
        <f>ABS(D65)</f>
        <v/>
      </c>
      <c r="N65" s="22">
        <f>(C65-AVERAGE(C$4:C$213))/STDEVP(C$4:C$213)</f>
        <v/>
      </c>
      <c r="O65" s="23">
        <f>L65/MEDIAN(L$4:L$213)</f>
        <v/>
      </c>
      <c r="P65" s="24">
        <f>IF(N65&gt;=요약!$C$5,"대량매수",IF(N65&lt;=-요약!$C$5,"대량매도",""))</f>
        <v/>
      </c>
      <c r="Q65" s="22">
        <f>(D65-AVERAGE(D$4:D$213))/STDEVP(D$4:D$213)</f>
        <v/>
      </c>
      <c r="R65" s="23">
        <f>M65/MEDIAN(M$4:M$213)</f>
        <v/>
      </c>
      <c r="S65" s="24">
        <f>IF(Q65&gt;=요약!$C$5,"대량매수",IF(Q65&lt;=-요약!$C$5,"대량매도",""))</f>
        <v/>
      </c>
    </row>
    <row r="66">
      <c r="A66" s="19" t="n">
        <v>46205</v>
      </c>
      <c r="B66" s="20" t="n">
        <v>62413</v>
      </c>
      <c r="C66" s="20" t="n">
        <v>-43706</v>
      </c>
      <c r="D66" s="20" t="n">
        <v>-20825</v>
      </c>
      <c r="E66" s="20" t="n">
        <v>-3928</v>
      </c>
      <c r="F66" s="20" t="n">
        <v>556</v>
      </c>
      <c r="G66" s="20" t="n">
        <v>-17424</v>
      </c>
      <c r="H66" s="20" t="n">
        <v>9</v>
      </c>
      <c r="I66" s="20" t="n">
        <v>457</v>
      </c>
      <c r="J66" s="20" t="n">
        <v>-495</v>
      </c>
      <c r="K66" s="20" t="n">
        <v>2118</v>
      </c>
      <c r="L66" s="21">
        <f>ABS(C66)</f>
        <v/>
      </c>
      <c r="M66" s="21">
        <f>ABS(D66)</f>
        <v/>
      </c>
      <c r="N66" s="22">
        <f>(C66-AVERAGE(C$4:C$213))/STDEVP(C$4:C$213)</f>
        <v/>
      </c>
      <c r="O66" s="23">
        <f>L66/MEDIAN(L$4:L$213)</f>
        <v/>
      </c>
      <c r="P66" s="24">
        <f>IF(N66&gt;=요약!$C$5,"대량매수",IF(N66&lt;=-요약!$C$5,"대량매도",""))</f>
        <v/>
      </c>
      <c r="Q66" s="22">
        <f>(D66-AVERAGE(D$4:D$213))/STDEVP(D$4:D$213)</f>
        <v/>
      </c>
      <c r="R66" s="23">
        <f>M66/MEDIAN(M$4:M$213)</f>
        <v/>
      </c>
      <c r="S66" s="24">
        <f>IF(Q66&gt;=요약!$C$5,"대량매수",IF(Q66&lt;=-요약!$C$5,"대량매도",""))</f>
        <v/>
      </c>
    </row>
    <row r="67">
      <c r="A67" s="19" t="n">
        <v>46204</v>
      </c>
      <c r="B67" s="20" t="n">
        <v>17370</v>
      </c>
      <c r="C67" s="20" t="n">
        <v>-17028</v>
      </c>
      <c r="D67" s="20" t="n">
        <v>-700</v>
      </c>
      <c r="E67" s="20" t="n">
        <v>-983</v>
      </c>
      <c r="F67" s="20" t="n">
        <v>482</v>
      </c>
      <c r="G67" s="20" t="n">
        <v>1457</v>
      </c>
      <c r="H67" s="20" t="n">
        <v>49</v>
      </c>
      <c r="I67" s="20" t="n">
        <v>472</v>
      </c>
      <c r="J67" s="20" t="n">
        <v>-2177</v>
      </c>
      <c r="K67" s="20" t="n">
        <v>359</v>
      </c>
      <c r="L67" s="21">
        <f>ABS(C67)</f>
        <v/>
      </c>
      <c r="M67" s="21">
        <f>ABS(D67)</f>
        <v/>
      </c>
      <c r="N67" s="22">
        <f>(C67-AVERAGE(C$4:C$213))/STDEVP(C$4:C$213)</f>
        <v/>
      </c>
      <c r="O67" s="23">
        <f>L67/MEDIAN(L$4:L$213)</f>
        <v/>
      </c>
      <c r="P67" s="24">
        <f>IF(N67&gt;=요약!$C$5,"대량매수",IF(N67&lt;=-요약!$C$5,"대량매도",""))</f>
        <v/>
      </c>
      <c r="Q67" s="22">
        <f>(D67-AVERAGE(D$4:D$213))/STDEVP(D$4:D$213)</f>
        <v/>
      </c>
      <c r="R67" s="23">
        <f>M67/MEDIAN(M$4:M$213)</f>
        <v/>
      </c>
      <c r="S67" s="24">
        <f>IF(Q67&gt;=요약!$C$5,"대량매수",IF(Q67&lt;=-요약!$C$5,"대량매도",""))</f>
        <v/>
      </c>
    </row>
    <row r="68">
      <c r="A68" s="19" t="n">
        <v>46203</v>
      </c>
      <c r="B68" s="20" t="n">
        <v>8401</v>
      </c>
      <c r="C68" s="20" t="n">
        <v>-37992</v>
      </c>
      <c r="D68" s="20" t="n">
        <v>29332</v>
      </c>
      <c r="E68" s="20" t="n">
        <v>16121</v>
      </c>
      <c r="F68" s="20" t="n">
        <v>925</v>
      </c>
      <c r="G68" s="20" t="n">
        <v>12623</v>
      </c>
      <c r="H68" s="20" t="n">
        <v>14</v>
      </c>
      <c r="I68" s="20" t="n">
        <v>43</v>
      </c>
      <c r="J68" s="20" t="n">
        <v>-394</v>
      </c>
      <c r="K68" s="20" t="n">
        <v>259</v>
      </c>
      <c r="L68" s="21">
        <f>ABS(C68)</f>
        <v/>
      </c>
      <c r="M68" s="21">
        <f>ABS(D68)</f>
        <v/>
      </c>
      <c r="N68" s="22">
        <f>(C68-AVERAGE(C$4:C$213))/STDEVP(C$4:C$213)</f>
        <v/>
      </c>
      <c r="O68" s="23">
        <f>L68/MEDIAN(L$4:L$213)</f>
        <v/>
      </c>
      <c r="P68" s="24">
        <f>IF(N68&gt;=요약!$C$5,"대량매수",IF(N68&lt;=-요약!$C$5,"대량매도",""))</f>
        <v/>
      </c>
      <c r="Q68" s="22">
        <f>(D68-AVERAGE(D$4:D$213))/STDEVP(D$4:D$213)</f>
        <v/>
      </c>
      <c r="R68" s="23">
        <f>M68/MEDIAN(M$4:M$213)</f>
        <v/>
      </c>
      <c r="S68" s="24">
        <f>IF(Q68&gt;=요약!$C$5,"대량매수",IF(Q68&lt;=-요약!$C$5,"대량매도",""))</f>
        <v/>
      </c>
    </row>
    <row r="69">
      <c r="A69" s="19" t="n">
        <v>46202</v>
      </c>
      <c r="B69" s="20" t="n">
        <v>45975</v>
      </c>
      <c r="C69" s="20" t="n">
        <v>-77332</v>
      </c>
      <c r="D69" s="20" t="n">
        <v>29327</v>
      </c>
      <c r="E69" s="20" t="n">
        <v>30270</v>
      </c>
      <c r="F69" s="20" t="n">
        <v>40</v>
      </c>
      <c r="G69" s="20" t="n">
        <v>-1419</v>
      </c>
      <c r="H69" s="20" t="n">
        <v>-112</v>
      </c>
      <c r="I69" s="20" t="n">
        <v>-33</v>
      </c>
      <c r="J69" s="20" t="n">
        <v>581</v>
      </c>
      <c r="K69" s="20" t="n">
        <v>2030</v>
      </c>
      <c r="L69" s="21">
        <f>ABS(C69)</f>
        <v/>
      </c>
      <c r="M69" s="21">
        <f>ABS(D69)</f>
        <v/>
      </c>
      <c r="N69" s="22">
        <f>(C69-AVERAGE(C$4:C$213))/STDEVP(C$4:C$213)</f>
        <v/>
      </c>
      <c r="O69" s="23">
        <f>L69/MEDIAN(L$4:L$213)</f>
        <v/>
      </c>
      <c r="P69" s="24">
        <f>IF(N69&gt;=요약!$C$5,"대량매수",IF(N69&lt;=-요약!$C$5,"대량매도",""))</f>
        <v/>
      </c>
      <c r="Q69" s="22">
        <f>(D69-AVERAGE(D$4:D$213))/STDEVP(D$4:D$213)</f>
        <v/>
      </c>
      <c r="R69" s="23">
        <f>M69/MEDIAN(M$4:M$213)</f>
        <v/>
      </c>
      <c r="S69" s="24">
        <f>IF(Q69&gt;=요약!$C$5,"대량매수",IF(Q69&lt;=-요약!$C$5,"대량매도",""))</f>
        <v/>
      </c>
    </row>
    <row r="70">
      <c r="A70" s="19" t="n">
        <v>46199</v>
      </c>
      <c r="B70" s="20" t="n">
        <v>81919</v>
      </c>
      <c r="C70" s="20" t="n">
        <v>-42906</v>
      </c>
      <c r="D70" s="20" t="n">
        <v>-41224</v>
      </c>
      <c r="E70" s="20" t="n">
        <v>-19935</v>
      </c>
      <c r="F70" s="20" t="n">
        <v>-302</v>
      </c>
      <c r="G70" s="20" t="n">
        <v>-20491</v>
      </c>
      <c r="H70" s="20" t="n">
        <v>-11</v>
      </c>
      <c r="I70" s="20" t="n">
        <v>-3</v>
      </c>
      <c r="J70" s="20" t="n">
        <v>-482</v>
      </c>
      <c r="K70" s="20" t="n">
        <v>2211</v>
      </c>
      <c r="L70" s="21">
        <f>ABS(C70)</f>
        <v/>
      </c>
      <c r="M70" s="21">
        <f>ABS(D70)</f>
        <v/>
      </c>
      <c r="N70" s="22">
        <f>(C70-AVERAGE(C$4:C$213))/STDEVP(C$4:C$213)</f>
        <v/>
      </c>
      <c r="O70" s="23">
        <f>L70/MEDIAN(L$4:L$213)</f>
        <v/>
      </c>
      <c r="P70" s="24">
        <f>IF(N70&gt;=요약!$C$5,"대량매수",IF(N70&lt;=-요약!$C$5,"대량매도",""))</f>
        <v/>
      </c>
      <c r="Q70" s="22">
        <f>(D70-AVERAGE(D$4:D$213))/STDEVP(D$4:D$213)</f>
        <v/>
      </c>
      <c r="R70" s="23">
        <f>M70/MEDIAN(M$4:M$213)</f>
        <v/>
      </c>
      <c r="S70" s="24">
        <f>IF(Q70&gt;=요약!$C$5,"대량매수",IF(Q70&lt;=-요약!$C$5,"대량매도",""))</f>
        <v/>
      </c>
    </row>
    <row r="71">
      <c r="A71" s="19" t="n">
        <v>46198</v>
      </c>
      <c r="B71" s="20" t="n">
        <v>-24136</v>
      </c>
      <c r="C71" s="20" t="n">
        <v>-8754</v>
      </c>
      <c r="D71" s="20" t="n">
        <v>33244</v>
      </c>
      <c r="E71" s="20" t="n">
        <v>24024</v>
      </c>
      <c r="F71" s="20" t="n">
        <v>-1082</v>
      </c>
      <c r="G71" s="20" t="n">
        <v>10293</v>
      </c>
      <c r="H71" s="20" t="n">
        <v>62</v>
      </c>
      <c r="I71" s="20" t="n">
        <v>-29</v>
      </c>
      <c r="J71" s="20" t="n">
        <v>-25</v>
      </c>
      <c r="K71" s="20" t="n">
        <v>-354</v>
      </c>
      <c r="L71" s="21">
        <f>ABS(C71)</f>
        <v/>
      </c>
      <c r="M71" s="21">
        <f>ABS(D71)</f>
        <v/>
      </c>
      <c r="N71" s="22">
        <f>(C71-AVERAGE(C$4:C$213))/STDEVP(C$4:C$213)</f>
        <v/>
      </c>
      <c r="O71" s="23">
        <f>L71/MEDIAN(L$4:L$213)</f>
        <v/>
      </c>
      <c r="P71" s="24">
        <f>IF(N71&gt;=요약!$C$5,"대량매수",IF(N71&lt;=-요약!$C$5,"대량매도",""))</f>
        <v/>
      </c>
      <c r="Q71" s="22">
        <f>(D71-AVERAGE(D$4:D$213))/STDEVP(D$4:D$213)</f>
        <v/>
      </c>
      <c r="R71" s="23">
        <f>M71/MEDIAN(M$4:M$213)</f>
        <v/>
      </c>
      <c r="S71" s="24">
        <f>IF(Q71&gt;=요약!$C$5,"대량매수",IF(Q71&lt;=-요약!$C$5,"대량매도",""))</f>
        <v/>
      </c>
    </row>
    <row r="72">
      <c r="A72" s="19" t="n">
        <v>46197</v>
      </c>
      <c r="B72" s="20" t="n">
        <v>26312</v>
      </c>
      <c r="C72" s="20" t="n">
        <v>-46546</v>
      </c>
      <c r="D72" s="20" t="n">
        <v>19095</v>
      </c>
      <c r="E72" s="20" t="n">
        <v>17479</v>
      </c>
      <c r="F72" s="20" t="n">
        <v>-103</v>
      </c>
      <c r="G72" s="20" t="n">
        <v>1524</v>
      </c>
      <c r="H72" s="20" t="n">
        <v>27</v>
      </c>
      <c r="I72" s="20" t="n">
        <v>37</v>
      </c>
      <c r="J72" s="20" t="n">
        <v>131</v>
      </c>
      <c r="K72" s="20" t="n">
        <v>1138</v>
      </c>
      <c r="L72" s="21">
        <f>ABS(C72)</f>
        <v/>
      </c>
      <c r="M72" s="21">
        <f>ABS(D72)</f>
        <v/>
      </c>
      <c r="N72" s="22">
        <f>(C72-AVERAGE(C$4:C$213))/STDEVP(C$4:C$213)</f>
        <v/>
      </c>
      <c r="O72" s="23">
        <f>L72/MEDIAN(L$4:L$213)</f>
        <v/>
      </c>
      <c r="P72" s="24">
        <f>IF(N72&gt;=요약!$C$5,"대량매수",IF(N72&lt;=-요약!$C$5,"대량매도",""))</f>
        <v/>
      </c>
      <c r="Q72" s="22">
        <f>(D72-AVERAGE(D$4:D$213))/STDEVP(D$4:D$213)</f>
        <v/>
      </c>
      <c r="R72" s="23">
        <f>M72/MEDIAN(M$4:M$213)</f>
        <v/>
      </c>
      <c r="S72" s="24">
        <f>IF(Q72&gt;=요약!$C$5,"대량매수",IF(Q72&lt;=-요약!$C$5,"대량매도",""))</f>
        <v/>
      </c>
    </row>
    <row r="73">
      <c r="A73" s="19" t="n">
        <v>46196</v>
      </c>
      <c r="B73" s="20" t="n">
        <v>85910</v>
      </c>
      <c r="C73" s="20" t="n">
        <v>-42047</v>
      </c>
      <c r="D73" s="20" t="n">
        <v>-44760</v>
      </c>
      <c r="E73" s="20" t="n">
        <v>-20908</v>
      </c>
      <c r="F73" s="20" t="n">
        <v>-1018</v>
      </c>
      <c r="G73" s="20" t="n">
        <v>-19662</v>
      </c>
      <c r="H73" s="20" t="n">
        <v>-165</v>
      </c>
      <c r="I73" s="20" t="n">
        <v>-69</v>
      </c>
      <c r="J73" s="20" t="n">
        <v>-2937</v>
      </c>
      <c r="K73" s="20" t="n">
        <v>898</v>
      </c>
      <c r="L73" s="21">
        <f>ABS(C73)</f>
        <v/>
      </c>
      <c r="M73" s="21">
        <f>ABS(D73)</f>
        <v/>
      </c>
      <c r="N73" s="22">
        <f>(C73-AVERAGE(C$4:C$213))/STDEVP(C$4:C$213)</f>
        <v/>
      </c>
      <c r="O73" s="23">
        <f>L73/MEDIAN(L$4:L$213)</f>
        <v/>
      </c>
      <c r="P73" s="24">
        <f>IF(N73&gt;=요약!$C$5,"대량매수",IF(N73&lt;=-요약!$C$5,"대량매도",""))</f>
        <v/>
      </c>
      <c r="Q73" s="22">
        <f>(D73-AVERAGE(D$4:D$213))/STDEVP(D$4:D$213)</f>
        <v/>
      </c>
      <c r="R73" s="23">
        <f>M73/MEDIAN(M$4:M$213)</f>
        <v/>
      </c>
      <c r="S73" s="24">
        <f>IF(Q73&gt;=요약!$C$5,"대량매수",IF(Q73&lt;=-요약!$C$5,"대량매도",""))</f>
        <v/>
      </c>
    </row>
    <row r="74">
      <c r="A74" s="19" t="n">
        <v>46195</v>
      </c>
      <c r="B74" s="20" t="n">
        <v>21506</v>
      </c>
      <c r="C74" s="20" t="n">
        <v>-25466</v>
      </c>
      <c r="D74" s="20" t="n">
        <v>3034</v>
      </c>
      <c r="E74" s="20" t="n">
        <v>4859</v>
      </c>
      <c r="F74" s="20" t="n">
        <v>-860</v>
      </c>
      <c r="G74" s="20" t="n">
        <v>1038</v>
      </c>
      <c r="H74" s="20" t="n">
        <v>-19</v>
      </c>
      <c r="I74" s="20" t="n">
        <v>-150</v>
      </c>
      <c r="J74" s="20" t="n">
        <v>-1834</v>
      </c>
      <c r="K74" s="20" t="n">
        <v>926</v>
      </c>
      <c r="L74" s="21">
        <f>ABS(C74)</f>
        <v/>
      </c>
      <c r="M74" s="21">
        <f>ABS(D74)</f>
        <v/>
      </c>
      <c r="N74" s="22">
        <f>(C74-AVERAGE(C$4:C$213))/STDEVP(C$4:C$213)</f>
        <v/>
      </c>
      <c r="O74" s="23">
        <f>L74/MEDIAN(L$4:L$213)</f>
        <v/>
      </c>
      <c r="P74" s="24">
        <f>IF(N74&gt;=요약!$C$5,"대량매수",IF(N74&lt;=-요약!$C$5,"대량매도",""))</f>
        <v/>
      </c>
      <c r="Q74" s="22">
        <f>(D74-AVERAGE(D$4:D$213))/STDEVP(D$4:D$213)</f>
        <v/>
      </c>
      <c r="R74" s="23">
        <f>M74/MEDIAN(M$4:M$213)</f>
        <v/>
      </c>
      <c r="S74" s="24">
        <f>IF(Q74&gt;=요약!$C$5,"대량매수",IF(Q74&lt;=-요약!$C$5,"대량매도",""))</f>
        <v/>
      </c>
    </row>
    <row r="75">
      <c r="A75" s="19" t="n">
        <v>46192</v>
      </c>
      <c r="B75" s="20" t="n">
        <v>16478</v>
      </c>
      <c r="C75" s="20" t="n">
        <v>-3555</v>
      </c>
      <c r="D75" s="20" t="n">
        <v>-12244</v>
      </c>
      <c r="E75" s="20" t="n">
        <v>-1994</v>
      </c>
      <c r="F75" s="20" t="n">
        <v>-2537</v>
      </c>
      <c r="G75" s="20" t="n">
        <v>-2489</v>
      </c>
      <c r="H75" s="20" t="n">
        <v>42</v>
      </c>
      <c r="I75" s="20" t="n">
        <v>1</v>
      </c>
      <c r="J75" s="20" t="n">
        <v>-5267</v>
      </c>
      <c r="K75" s="20" t="n">
        <v>-679</v>
      </c>
      <c r="L75" s="21">
        <f>ABS(C75)</f>
        <v/>
      </c>
      <c r="M75" s="21">
        <f>ABS(D75)</f>
        <v/>
      </c>
      <c r="N75" s="22">
        <f>(C75-AVERAGE(C$4:C$213))/STDEVP(C$4:C$213)</f>
        <v/>
      </c>
      <c r="O75" s="23">
        <f>L75/MEDIAN(L$4:L$213)</f>
        <v/>
      </c>
      <c r="P75" s="24">
        <f>IF(N75&gt;=요약!$C$5,"대량매수",IF(N75&lt;=-요약!$C$5,"대량매도",""))</f>
        <v/>
      </c>
      <c r="Q75" s="22">
        <f>(D75-AVERAGE(D$4:D$213))/STDEVP(D$4:D$213)</f>
        <v/>
      </c>
      <c r="R75" s="23">
        <f>M75/MEDIAN(M$4:M$213)</f>
        <v/>
      </c>
      <c r="S75" s="24">
        <f>IF(Q75&gt;=요약!$C$5,"대량매수",IF(Q75&lt;=-요약!$C$5,"대량매도",""))</f>
        <v/>
      </c>
    </row>
    <row r="76">
      <c r="A76" s="19" t="n">
        <v>46191</v>
      </c>
      <c r="B76" s="20" t="n">
        <v>-4156</v>
      </c>
      <c r="C76" s="20" t="n">
        <v>12776</v>
      </c>
      <c r="D76" s="20" t="n">
        <v>-7682</v>
      </c>
      <c r="E76" s="20" t="n">
        <v>1577</v>
      </c>
      <c r="F76" s="20" t="n">
        <v>-1530</v>
      </c>
      <c r="G76" s="20" t="n">
        <v>-3851</v>
      </c>
      <c r="H76" s="20" t="n">
        <v>80</v>
      </c>
      <c r="I76" s="20" t="n">
        <v>-37</v>
      </c>
      <c r="J76" s="20" t="n">
        <v>-3921</v>
      </c>
      <c r="K76" s="20" t="n">
        <v>-938</v>
      </c>
      <c r="L76" s="21">
        <f>ABS(C76)</f>
        <v/>
      </c>
      <c r="M76" s="21">
        <f>ABS(D76)</f>
        <v/>
      </c>
      <c r="N76" s="22">
        <f>(C76-AVERAGE(C$4:C$213))/STDEVP(C$4:C$213)</f>
        <v/>
      </c>
      <c r="O76" s="23">
        <f>L76/MEDIAN(L$4:L$213)</f>
        <v/>
      </c>
      <c r="P76" s="24">
        <f>IF(N76&gt;=요약!$C$5,"대량매수",IF(N76&lt;=-요약!$C$5,"대량매도",""))</f>
        <v/>
      </c>
      <c r="Q76" s="22">
        <f>(D76-AVERAGE(D$4:D$213))/STDEVP(D$4:D$213)</f>
        <v/>
      </c>
      <c r="R76" s="23">
        <f>M76/MEDIAN(M$4:M$213)</f>
        <v/>
      </c>
      <c r="S76" s="24">
        <f>IF(Q76&gt;=요약!$C$5,"대량매수",IF(Q76&lt;=-요약!$C$5,"대량매도",""))</f>
        <v/>
      </c>
    </row>
    <row r="77">
      <c r="A77" s="19" t="n">
        <v>46190</v>
      </c>
      <c r="B77" s="20" t="n">
        <v>5254</v>
      </c>
      <c r="C77" s="20" t="n">
        <v>-9952</v>
      </c>
      <c r="D77" s="20" t="n">
        <v>5957</v>
      </c>
      <c r="E77" s="20" t="n">
        <v>5194</v>
      </c>
      <c r="F77" s="20" t="n">
        <v>-647</v>
      </c>
      <c r="G77" s="20" t="n">
        <v>3099</v>
      </c>
      <c r="H77" s="20" t="n">
        <v>-87</v>
      </c>
      <c r="I77" s="20" t="n">
        <v>73</v>
      </c>
      <c r="J77" s="20" t="n">
        <v>-1676</v>
      </c>
      <c r="K77" s="20" t="n">
        <v>-1259</v>
      </c>
      <c r="L77" s="21">
        <f>ABS(C77)</f>
        <v/>
      </c>
      <c r="M77" s="21">
        <f>ABS(D77)</f>
        <v/>
      </c>
      <c r="N77" s="22">
        <f>(C77-AVERAGE(C$4:C$213))/STDEVP(C$4:C$213)</f>
        <v/>
      </c>
      <c r="O77" s="23">
        <f>L77/MEDIAN(L$4:L$213)</f>
        <v/>
      </c>
      <c r="P77" s="24">
        <f>IF(N77&gt;=요약!$C$5,"대량매수",IF(N77&lt;=-요약!$C$5,"대량매도",""))</f>
        <v/>
      </c>
      <c r="Q77" s="22">
        <f>(D77-AVERAGE(D$4:D$213))/STDEVP(D$4:D$213)</f>
        <v/>
      </c>
      <c r="R77" s="23">
        <f>M77/MEDIAN(M$4:M$213)</f>
        <v/>
      </c>
      <c r="S77" s="24">
        <f>IF(Q77&gt;=요약!$C$5,"대량매수",IF(Q77&lt;=-요약!$C$5,"대량매도",""))</f>
        <v/>
      </c>
    </row>
    <row r="78">
      <c r="A78" s="19" t="n">
        <v>46189</v>
      </c>
      <c r="B78" s="20" t="n">
        <v>-21841</v>
      </c>
      <c r="C78" s="20" t="n">
        <v>15353</v>
      </c>
      <c r="D78" s="20" t="n">
        <v>7076</v>
      </c>
      <c r="E78" s="20" t="n">
        <v>2129</v>
      </c>
      <c r="F78" s="20" t="n">
        <v>-335</v>
      </c>
      <c r="G78" s="20" t="n">
        <v>5928</v>
      </c>
      <c r="H78" s="20" t="n">
        <v>47</v>
      </c>
      <c r="I78" s="20" t="n">
        <v>-355</v>
      </c>
      <c r="J78" s="20" t="n">
        <v>-338</v>
      </c>
      <c r="K78" s="20" t="n">
        <v>-588</v>
      </c>
      <c r="L78" s="21">
        <f>ABS(C78)</f>
        <v/>
      </c>
      <c r="M78" s="21">
        <f>ABS(D78)</f>
        <v/>
      </c>
      <c r="N78" s="22">
        <f>(C78-AVERAGE(C$4:C$213))/STDEVP(C$4:C$213)</f>
        <v/>
      </c>
      <c r="O78" s="23">
        <f>L78/MEDIAN(L$4:L$213)</f>
        <v/>
      </c>
      <c r="P78" s="24">
        <f>IF(N78&gt;=요약!$C$5,"대량매수",IF(N78&lt;=-요약!$C$5,"대량매도",""))</f>
        <v/>
      </c>
      <c r="Q78" s="22">
        <f>(D78-AVERAGE(D$4:D$213))/STDEVP(D$4:D$213)</f>
        <v/>
      </c>
      <c r="R78" s="23">
        <f>M78/MEDIAN(M$4:M$213)</f>
        <v/>
      </c>
      <c r="S78" s="24">
        <f>IF(Q78&gt;=요약!$C$5,"대량매수",IF(Q78&lt;=-요약!$C$5,"대량매도",""))</f>
        <v/>
      </c>
    </row>
    <row r="79">
      <c r="A79" s="19" t="n">
        <v>46188</v>
      </c>
      <c r="B79" s="20" t="n">
        <v>-15124</v>
      </c>
      <c r="C79" s="20" t="n">
        <v>10774</v>
      </c>
      <c r="D79" s="20" t="n">
        <v>4462</v>
      </c>
      <c r="E79" s="20" t="n">
        <v>7120</v>
      </c>
      <c r="F79" s="20" t="n">
        <v>-575</v>
      </c>
      <c r="G79" s="20" t="n">
        <v>-2519</v>
      </c>
      <c r="H79" s="20" t="n">
        <v>14</v>
      </c>
      <c r="I79" s="20" t="n">
        <v>172</v>
      </c>
      <c r="J79" s="20" t="n">
        <v>250</v>
      </c>
      <c r="K79" s="20" t="n">
        <v>-112</v>
      </c>
      <c r="L79" s="21">
        <f>ABS(C79)</f>
        <v/>
      </c>
      <c r="M79" s="21">
        <f>ABS(D79)</f>
        <v/>
      </c>
      <c r="N79" s="22">
        <f>(C79-AVERAGE(C$4:C$213))/STDEVP(C$4:C$213)</f>
        <v/>
      </c>
      <c r="O79" s="23">
        <f>L79/MEDIAN(L$4:L$213)</f>
        <v/>
      </c>
      <c r="P79" s="24">
        <f>IF(N79&gt;=요약!$C$5,"대량매수",IF(N79&lt;=-요약!$C$5,"대량매도",""))</f>
        <v/>
      </c>
      <c r="Q79" s="22">
        <f>(D79-AVERAGE(D$4:D$213))/STDEVP(D$4:D$213)</f>
        <v/>
      </c>
      <c r="R79" s="23">
        <f>M79/MEDIAN(M$4:M$213)</f>
        <v/>
      </c>
      <c r="S79" s="24">
        <f>IF(Q79&gt;=요약!$C$5,"대량매수",IF(Q79&lt;=-요약!$C$5,"대량매도",""))</f>
        <v/>
      </c>
    </row>
    <row r="80">
      <c r="A80" s="19" t="n">
        <v>46185</v>
      </c>
      <c r="B80" s="20" t="n">
        <v>-43174</v>
      </c>
      <c r="C80" s="20" t="n">
        <v>22041</v>
      </c>
      <c r="D80" s="20" t="n">
        <v>22870</v>
      </c>
      <c r="E80" s="20" t="n">
        <v>16534</v>
      </c>
      <c r="F80" s="20" t="n">
        <v>-580</v>
      </c>
      <c r="G80" s="20" t="n">
        <v>10141</v>
      </c>
      <c r="H80" s="20" t="n">
        <v>114</v>
      </c>
      <c r="I80" s="20" t="n">
        <v>-91</v>
      </c>
      <c r="J80" s="20" t="n">
        <v>-3248</v>
      </c>
      <c r="K80" s="20" t="n">
        <v>-1736</v>
      </c>
      <c r="L80" s="21">
        <f>ABS(C80)</f>
        <v/>
      </c>
      <c r="M80" s="21">
        <f>ABS(D80)</f>
        <v/>
      </c>
      <c r="N80" s="22">
        <f>(C80-AVERAGE(C$4:C$213))/STDEVP(C$4:C$213)</f>
        <v/>
      </c>
      <c r="O80" s="23">
        <f>L80/MEDIAN(L$4:L$213)</f>
        <v/>
      </c>
      <c r="P80" s="24">
        <f>IF(N80&gt;=요약!$C$5,"대량매수",IF(N80&lt;=-요약!$C$5,"대량매도",""))</f>
        <v/>
      </c>
      <c r="Q80" s="22">
        <f>(D80-AVERAGE(D$4:D$213))/STDEVP(D$4:D$213)</f>
        <v/>
      </c>
      <c r="R80" s="23">
        <f>M80/MEDIAN(M$4:M$213)</f>
        <v/>
      </c>
      <c r="S80" s="24">
        <f>IF(Q80&gt;=요약!$C$5,"대량매수",IF(Q80&lt;=-요약!$C$5,"대량매도",""))</f>
        <v/>
      </c>
    </row>
    <row r="81">
      <c r="A81" s="19" t="n">
        <v>46184</v>
      </c>
      <c r="B81" s="20" t="n">
        <v>20803</v>
      </c>
      <c r="C81" s="20" t="n">
        <v>-14640</v>
      </c>
      <c r="D81" s="20" t="n">
        <v>-7561</v>
      </c>
      <c r="E81" s="20" t="n">
        <v>-14328</v>
      </c>
      <c r="F81" s="20" t="n">
        <v>1039</v>
      </c>
      <c r="G81" s="20" t="n">
        <v>6907</v>
      </c>
      <c r="H81" s="20" t="n">
        <v>-17</v>
      </c>
      <c r="I81" s="20" t="n">
        <v>-38</v>
      </c>
      <c r="J81" s="20" t="n">
        <v>-1125</v>
      </c>
      <c r="K81" s="20" t="n">
        <v>1399</v>
      </c>
      <c r="L81" s="21">
        <f>ABS(C81)</f>
        <v/>
      </c>
      <c r="M81" s="21">
        <f>ABS(D81)</f>
        <v/>
      </c>
      <c r="N81" s="22">
        <f>(C81-AVERAGE(C$4:C$213))/STDEVP(C$4:C$213)</f>
        <v/>
      </c>
      <c r="O81" s="23">
        <f>L81/MEDIAN(L$4:L$213)</f>
        <v/>
      </c>
      <c r="P81" s="24">
        <f>IF(N81&gt;=요약!$C$5,"대량매수",IF(N81&lt;=-요약!$C$5,"대량매도",""))</f>
        <v/>
      </c>
      <c r="Q81" s="22">
        <f>(D81-AVERAGE(D$4:D$213))/STDEVP(D$4:D$213)</f>
        <v/>
      </c>
      <c r="R81" s="23">
        <f>M81/MEDIAN(M$4:M$213)</f>
        <v/>
      </c>
      <c r="S81" s="24">
        <f>IF(Q81&gt;=요약!$C$5,"대량매수",IF(Q81&lt;=-요약!$C$5,"대량매도",""))</f>
        <v/>
      </c>
    </row>
    <row r="82">
      <c r="A82" s="19" t="n">
        <v>46183</v>
      </c>
      <c r="B82" s="20" t="n">
        <v>48643</v>
      </c>
      <c r="C82" s="20" t="n">
        <v>-27754</v>
      </c>
      <c r="D82" s="20" t="n">
        <v>-22665</v>
      </c>
      <c r="E82" s="20" t="n">
        <v>-14247</v>
      </c>
      <c r="F82" s="20" t="n">
        <v>520</v>
      </c>
      <c r="G82" s="20" t="n">
        <v>-6362</v>
      </c>
      <c r="H82" s="20" t="n">
        <v>47</v>
      </c>
      <c r="I82" s="20" t="n">
        <v>19</v>
      </c>
      <c r="J82" s="20" t="n">
        <v>-2642</v>
      </c>
      <c r="K82" s="20" t="n">
        <v>1776</v>
      </c>
      <c r="L82" s="21">
        <f>ABS(C82)</f>
        <v/>
      </c>
      <c r="M82" s="21">
        <f>ABS(D82)</f>
        <v/>
      </c>
      <c r="N82" s="22">
        <f>(C82-AVERAGE(C$4:C$213))/STDEVP(C$4:C$213)</f>
        <v/>
      </c>
      <c r="O82" s="23">
        <f>L82/MEDIAN(L$4:L$213)</f>
        <v/>
      </c>
      <c r="P82" s="24">
        <f>IF(N82&gt;=요약!$C$5,"대량매수",IF(N82&lt;=-요약!$C$5,"대량매도",""))</f>
        <v/>
      </c>
      <c r="Q82" s="22">
        <f>(D82-AVERAGE(D$4:D$213))/STDEVP(D$4:D$213)</f>
        <v/>
      </c>
      <c r="R82" s="23">
        <f>M82/MEDIAN(M$4:M$213)</f>
        <v/>
      </c>
      <c r="S82" s="24">
        <f>IF(Q82&gt;=요약!$C$5,"대량매수",IF(Q82&lt;=-요약!$C$5,"대량매도",""))</f>
        <v/>
      </c>
    </row>
    <row r="83">
      <c r="A83" s="19" t="n">
        <v>46182</v>
      </c>
      <c r="B83" s="20" t="n">
        <v>-6167</v>
      </c>
      <c r="C83" s="20" t="n">
        <v>-20064</v>
      </c>
      <c r="D83" s="20" t="n">
        <v>25048</v>
      </c>
      <c r="E83" s="20" t="n">
        <v>18795</v>
      </c>
      <c r="F83" s="20" t="n">
        <v>-883</v>
      </c>
      <c r="G83" s="20" t="n">
        <v>7161</v>
      </c>
      <c r="H83" s="20" t="n">
        <v>178</v>
      </c>
      <c r="I83" s="20" t="n">
        <v>30</v>
      </c>
      <c r="J83" s="20" t="n">
        <v>-233</v>
      </c>
      <c r="K83" s="20" t="n">
        <v>1183</v>
      </c>
      <c r="L83" s="21">
        <f>ABS(C83)</f>
        <v/>
      </c>
      <c r="M83" s="21">
        <f>ABS(D83)</f>
        <v/>
      </c>
      <c r="N83" s="22">
        <f>(C83-AVERAGE(C$4:C$213))/STDEVP(C$4:C$213)</f>
        <v/>
      </c>
      <c r="O83" s="23">
        <f>L83/MEDIAN(L$4:L$213)</f>
        <v/>
      </c>
      <c r="P83" s="24">
        <f>IF(N83&gt;=요약!$C$5,"대량매수",IF(N83&lt;=-요약!$C$5,"대량매도",""))</f>
        <v/>
      </c>
      <c r="Q83" s="22">
        <f>(D83-AVERAGE(D$4:D$213))/STDEVP(D$4:D$213)</f>
        <v/>
      </c>
      <c r="R83" s="23">
        <f>M83/MEDIAN(M$4:M$213)</f>
        <v/>
      </c>
      <c r="S83" s="24">
        <f>IF(Q83&gt;=요약!$C$5,"대량매수",IF(Q83&lt;=-요약!$C$5,"대량매도",""))</f>
        <v/>
      </c>
    </row>
    <row r="84">
      <c r="A84" s="19" t="n">
        <v>46181</v>
      </c>
      <c r="B84" s="20" t="n">
        <v>17628</v>
      </c>
      <c r="C84" s="20" t="n">
        <v>-2644</v>
      </c>
      <c r="D84" s="20" t="n">
        <v>-17164</v>
      </c>
      <c r="E84" s="20" t="n">
        <v>-14373</v>
      </c>
      <c r="F84" s="20" t="n">
        <v>156</v>
      </c>
      <c r="G84" s="20" t="n">
        <v>-3359</v>
      </c>
      <c r="H84" s="20" t="n">
        <v>-210</v>
      </c>
      <c r="I84" s="20" t="n">
        <v>137</v>
      </c>
      <c r="J84" s="20" t="n">
        <v>485</v>
      </c>
      <c r="K84" s="20" t="n">
        <v>2181</v>
      </c>
      <c r="L84" s="21">
        <f>ABS(C84)</f>
        <v/>
      </c>
      <c r="M84" s="21">
        <f>ABS(D84)</f>
        <v/>
      </c>
      <c r="N84" s="22">
        <f>(C84-AVERAGE(C$4:C$213))/STDEVP(C$4:C$213)</f>
        <v/>
      </c>
      <c r="O84" s="23">
        <f>L84/MEDIAN(L$4:L$213)</f>
        <v/>
      </c>
      <c r="P84" s="24">
        <f>IF(N84&gt;=요약!$C$5,"대량매수",IF(N84&lt;=-요약!$C$5,"대량매도",""))</f>
        <v/>
      </c>
      <c r="Q84" s="22">
        <f>(D84-AVERAGE(D$4:D$213))/STDEVP(D$4:D$213)</f>
        <v/>
      </c>
      <c r="R84" s="23">
        <f>M84/MEDIAN(M$4:M$213)</f>
        <v/>
      </c>
      <c r="S84" s="24">
        <f>IF(Q84&gt;=요약!$C$5,"대량매수",IF(Q84&lt;=-요약!$C$5,"대량매도",""))</f>
        <v/>
      </c>
    </row>
    <row r="85">
      <c r="A85" s="19" t="n">
        <v>46178</v>
      </c>
      <c r="B85" s="20" t="n">
        <v>42240</v>
      </c>
      <c r="C85" s="20" t="n">
        <v>-27638</v>
      </c>
      <c r="D85" s="20" t="n">
        <v>-13809</v>
      </c>
      <c r="E85" s="20" t="n">
        <v>-9410</v>
      </c>
      <c r="F85" s="20" t="n">
        <v>-64</v>
      </c>
      <c r="G85" s="20" t="n">
        <v>-3689</v>
      </c>
      <c r="H85" s="20" t="n">
        <v>-124</v>
      </c>
      <c r="I85" s="20" t="n">
        <v>86</v>
      </c>
      <c r="J85" s="20" t="n">
        <v>-607</v>
      </c>
      <c r="K85" s="20" t="n">
        <v>-793</v>
      </c>
      <c r="L85" s="21">
        <f>ABS(C85)</f>
        <v/>
      </c>
      <c r="M85" s="21">
        <f>ABS(D85)</f>
        <v/>
      </c>
      <c r="N85" s="22">
        <f>(C85-AVERAGE(C$4:C$213))/STDEVP(C$4:C$213)</f>
        <v/>
      </c>
      <c r="O85" s="23">
        <f>L85/MEDIAN(L$4:L$213)</f>
        <v/>
      </c>
      <c r="P85" s="24">
        <f>IF(N85&gt;=요약!$C$5,"대량매수",IF(N85&lt;=-요약!$C$5,"대량매도",""))</f>
        <v/>
      </c>
      <c r="Q85" s="22">
        <f>(D85-AVERAGE(D$4:D$213))/STDEVP(D$4:D$213)</f>
        <v/>
      </c>
      <c r="R85" s="23">
        <f>M85/MEDIAN(M$4:M$213)</f>
        <v/>
      </c>
      <c r="S85" s="24">
        <f>IF(Q85&gt;=요약!$C$5,"대량매수",IF(Q85&lt;=-요약!$C$5,"대량매도",""))</f>
        <v/>
      </c>
    </row>
    <row r="86">
      <c r="A86" s="19" t="n">
        <v>46177</v>
      </c>
      <c r="B86" s="20" t="n">
        <v>50135</v>
      </c>
      <c r="C86" s="20" t="n">
        <v>-66663</v>
      </c>
      <c r="D86" s="20" t="n">
        <v>15255</v>
      </c>
      <c r="E86" s="20" t="n">
        <v>14443</v>
      </c>
      <c r="F86" s="20" t="n">
        <v>-451</v>
      </c>
      <c r="G86" s="20" t="n">
        <v>1645</v>
      </c>
      <c r="H86" s="20" t="n">
        <v>-26</v>
      </c>
      <c r="I86" s="20" t="n">
        <v>136</v>
      </c>
      <c r="J86" s="20" t="n">
        <v>-492</v>
      </c>
      <c r="K86" s="20" t="n">
        <v>1273</v>
      </c>
      <c r="L86" s="21">
        <f>ABS(C86)</f>
        <v/>
      </c>
      <c r="M86" s="21">
        <f>ABS(D86)</f>
        <v/>
      </c>
      <c r="N86" s="22">
        <f>(C86-AVERAGE(C$4:C$213))/STDEVP(C$4:C$213)</f>
        <v/>
      </c>
      <c r="O86" s="23">
        <f>L86/MEDIAN(L$4:L$213)</f>
        <v/>
      </c>
      <c r="P86" s="24">
        <f>IF(N86&gt;=요약!$C$5,"대량매수",IF(N86&lt;=-요약!$C$5,"대량매도",""))</f>
        <v/>
      </c>
      <c r="Q86" s="22">
        <f>(D86-AVERAGE(D$4:D$213))/STDEVP(D$4:D$213)</f>
        <v/>
      </c>
      <c r="R86" s="23">
        <f>M86/MEDIAN(M$4:M$213)</f>
        <v/>
      </c>
      <c r="S86" s="24">
        <f>IF(Q86&gt;=요약!$C$5,"대량매수",IF(Q86&lt;=-요약!$C$5,"대량매도",""))</f>
        <v/>
      </c>
    </row>
    <row r="87">
      <c r="A87" s="19" t="n">
        <v>46175</v>
      </c>
      <c r="B87" s="20" t="n">
        <v>63537</v>
      </c>
      <c r="C87" s="20" t="n">
        <v>-63035</v>
      </c>
      <c r="D87" s="20" t="n">
        <v>-546</v>
      </c>
      <c r="E87" s="20" t="n">
        <v>3408</v>
      </c>
      <c r="F87" s="20" t="n">
        <v>-696</v>
      </c>
      <c r="G87" s="20" t="n">
        <v>-3986</v>
      </c>
      <c r="H87" s="20" t="n">
        <v>-21</v>
      </c>
      <c r="I87" s="20" t="n">
        <v>42</v>
      </c>
      <c r="J87" s="20" t="n">
        <v>707</v>
      </c>
      <c r="K87" s="20" t="n">
        <v>44</v>
      </c>
      <c r="L87" s="21">
        <f>ABS(C87)</f>
        <v/>
      </c>
      <c r="M87" s="21">
        <f>ABS(D87)</f>
        <v/>
      </c>
      <c r="N87" s="22">
        <f>(C87-AVERAGE(C$4:C$213))/STDEVP(C$4:C$213)</f>
        <v/>
      </c>
      <c r="O87" s="23">
        <f>L87/MEDIAN(L$4:L$213)</f>
        <v/>
      </c>
      <c r="P87" s="24">
        <f>IF(N87&gt;=요약!$C$5,"대량매수",IF(N87&lt;=-요약!$C$5,"대량매도",""))</f>
        <v/>
      </c>
      <c r="Q87" s="22">
        <f>(D87-AVERAGE(D$4:D$213))/STDEVP(D$4:D$213)</f>
        <v/>
      </c>
      <c r="R87" s="23">
        <f>M87/MEDIAN(M$4:M$213)</f>
        <v/>
      </c>
      <c r="S87" s="24">
        <f>IF(Q87&gt;=요약!$C$5,"대량매수",IF(Q87&lt;=-요약!$C$5,"대량매도",""))</f>
        <v/>
      </c>
    </row>
    <row r="88">
      <c r="A88" s="19" t="n">
        <v>46174</v>
      </c>
      <c r="B88" s="20" t="n">
        <v>3862</v>
      </c>
      <c r="C88" s="20" t="n">
        <v>-28219</v>
      </c>
      <c r="D88" s="20" t="n">
        <v>24427</v>
      </c>
      <c r="E88" s="20" t="n">
        <v>26892</v>
      </c>
      <c r="F88" s="20" t="n">
        <v>-2597</v>
      </c>
      <c r="G88" s="20" t="n">
        <v>612</v>
      </c>
      <c r="H88" s="20" t="n">
        <v>-113</v>
      </c>
      <c r="I88" s="20" t="n">
        <v>-61</v>
      </c>
      <c r="J88" s="20" t="n">
        <v>-305</v>
      </c>
      <c r="K88" s="20" t="n">
        <v>-70</v>
      </c>
      <c r="L88" s="21">
        <f>ABS(C88)</f>
        <v/>
      </c>
      <c r="M88" s="21">
        <f>ABS(D88)</f>
        <v/>
      </c>
      <c r="N88" s="22">
        <f>(C88-AVERAGE(C$4:C$213))/STDEVP(C$4:C$213)</f>
        <v/>
      </c>
      <c r="O88" s="23">
        <f>L88/MEDIAN(L$4:L$213)</f>
        <v/>
      </c>
      <c r="P88" s="24">
        <f>IF(N88&gt;=요약!$C$5,"대량매수",IF(N88&lt;=-요약!$C$5,"대량매도",""))</f>
        <v/>
      </c>
      <c r="Q88" s="22">
        <f>(D88-AVERAGE(D$4:D$213))/STDEVP(D$4:D$213)</f>
        <v/>
      </c>
      <c r="R88" s="23">
        <f>M88/MEDIAN(M$4:M$213)</f>
        <v/>
      </c>
      <c r="S88" s="24">
        <f>IF(Q88&gt;=요약!$C$5,"대량매수",IF(Q88&lt;=-요약!$C$5,"대량매도",""))</f>
        <v/>
      </c>
    </row>
    <row r="89">
      <c r="A89" s="19" t="n">
        <v>46171</v>
      </c>
      <c r="B89" s="20" t="n">
        <v>-14054</v>
      </c>
      <c r="C89" s="20" t="n">
        <v>-10421</v>
      </c>
      <c r="D89" s="20" t="n">
        <v>23688</v>
      </c>
      <c r="E89" s="20" t="n">
        <v>19139</v>
      </c>
      <c r="F89" s="20" t="n">
        <v>-409</v>
      </c>
      <c r="G89" s="20" t="n">
        <v>4102</v>
      </c>
      <c r="H89" s="20" t="n">
        <v>-7</v>
      </c>
      <c r="I89" s="20" t="n">
        <v>-46</v>
      </c>
      <c r="J89" s="20" t="n">
        <v>909</v>
      </c>
      <c r="K89" s="20" t="n">
        <v>787</v>
      </c>
      <c r="L89" s="21">
        <f>ABS(C89)</f>
        <v/>
      </c>
      <c r="M89" s="21">
        <f>ABS(D89)</f>
        <v/>
      </c>
      <c r="N89" s="22">
        <f>(C89-AVERAGE(C$4:C$213))/STDEVP(C$4:C$213)</f>
        <v/>
      </c>
      <c r="O89" s="23">
        <f>L89/MEDIAN(L$4:L$213)</f>
        <v/>
      </c>
      <c r="P89" s="24">
        <f>IF(N89&gt;=요약!$C$5,"대량매수",IF(N89&lt;=-요약!$C$5,"대량매도",""))</f>
        <v/>
      </c>
      <c r="Q89" s="22">
        <f>(D89-AVERAGE(D$4:D$213))/STDEVP(D$4:D$213)</f>
        <v/>
      </c>
      <c r="R89" s="23">
        <f>M89/MEDIAN(M$4:M$213)</f>
        <v/>
      </c>
      <c r="S89" s="24">
        <f>IF(Q89&gt;=요약!$C$5,"대량매수",IF(Q89&lt;=-요약!$C$5,"대량매도",""))</f>
        <v/>
      </c>
    </row>
    <row r="90">
      <c r="A90" s="19" t="n">
        <v>46170</v>
      </c>
      <c r="B90" s="20" t="n">
        <v>36146</v>
      </c>
      <c r="C90" s="20" t="n">
        <v>-27414</v>
      </c>
      <c r="D90" s="20" t="n">
        <v>-10422</v>
      </c>
      <c r="E90" s="20" t="n">
        <v>-3532</v>
      </c>
      <c r="F90" s="20" t="n">
        <v>-212</v>
      </c>
      <c r="G90" s="20" t="n">
        <v>-6343</v>
      </c>
      <c r="H90" s="20" t="n">
        <v>-79</v>
      </c>
      <c r="I90" s="20" t="n">
        <v>19</v>
      </c>
      <c r="J90" s="20" t="n">
        <v>-275</v>
      </c>
      <c r="K90" s="20" t="n">
        <v>1690</v>
      </c>
      <c r="L90" s="21">
        <f>ABS(C90)</f>
        <v/>
      </c>
      <c r="M90" s="21">
        <f>ABS(D90)</f>
        <v/>
      </c>
      <c r="N90" s="22">
        <f>(C90-AVERAGE(C$4:C$213))/STDEVP(C$4:C$213)</f>
        <v/>
      </c>
      <c r="O90" s="23">
        <f>L90/MEDIAN(L$4:L$213)</f>
        <v/>
      </c>
      <c r="P90" s="24">
        <f>IF(N90&gt;=요약!$C$5,"대량매수",IF(N90&lt;=-요약!$C$5,"대량매도",""))</f>
        <v/>
      </c>
      <c r="Q90" s="22">
        <f>(D90-AVERAGE(D$4:D$213))/STDEVP(D$4:D$213)</f>
        <v/>
      </c>
      <c r="R90" s="23">
        <f>M90/MEDIAN(M$4:M$213)</f>
        <v/>
      </c>
      <c r="S90" s="24">
        <f>IF(Q90&gt;=요약!$C$5,"대량매수",IF(Q90&lt;=-요약!$C$5,"대량매도",""))</f>
        <v/>
      </c>
    </row>
    <row r="91">
      <c r="A91" s="19" t="n">
        <v>46169</v>
      </c>
      <c r="B91" s="20" t="n">
        <v>4064</v>
      </c>
      <c r="C91" s="20" t="n">
        <v>-2493</v>
      </c>
      <c r="D91" s="20" t="n">
        <v>-126</v>
      </c>
      <c r="E91" s="20" t="n">
        <v>11199</v>
      </c>
      <c r="F91" s="20" t="n">
        <v>-3055</v>
      </c>
      <c r="G91" s="20" t="n">
        <v>-3987</v>
      </c>
      <c r="H91" s="20" t="n">
        <v>-204</v>
      </c>
      <c r="I91" s="20" t="n">
        <v>-149</v>
      </c>
      <c r="J91" s="20" t="n">
        <v>-3930</v>
      </c>
      <c r="K91" s="20" t="n">
        <v>-1446</v>
      </c>
      <c r="L91" s="21">
        <f>ABS(C91)</f>
        <v/>
      </c>
      <c r="M91" s="21">
        <f>ABS(D91)</f>
        <v/>
      </c>
      <c r="N91" s="22">
        <f>(C91-AVERAGE(C$4:C$213))/STDEVP(C$4:C$213)</f>
        <v/>
      </c>
      <c r="O91" s="23">
        <f>L91/MEDIAN(L$4:L$213)</f>
        <v/>
      </c>
      <c r="P91" s="24">
        <f>IF(N91&gt;=요약!$C$5,"대량매수",IF(N91&lt;=-요약!$C$5,"대량매도",""))</f>
        <v/>
      </c>
      <c r="Q91" s="22">
        <f>(D91-AVERAGE(D$4:D$213))/STDEVP(D$4:D$213)</f>
        <v/>
      </c>
      <c r="R91" s="23">
        <f>M91/MEDIAN(M$4:M$213)</f>
        <v/>
      </c>
      <c r="S91" s="24">
        <f>IF(Q91&gt;=요약!$C$5,"대량매수",IF(Q91&lt;=-요약!$C$5,"대량매도",""))</f>
        <v/>
      </c>
    </row>
    <row r="92">
      <c r="A92" s="19" t="n">
        <v>46168</v>
      </c>
      <c r="B92" s="20" t="n">
        <v>-5745</v>
      </c>
      <c r="C92" s="20" t="n">
        <v>-1321</v>
      </c>
      <c r="D92" s="20" t="n">
        <v>8168</v>
      </c>
      <c r="E92" s="20" t="n">
        <v>1708</v>
      </c>
      <c r="F92" s="20" t="n">
        <v>-1958</v>
      </c>
      <c r="G92" s="20" t="n">
        <v>9984</v>
      </c>
      <c r="H92" s="20" t="n">
        <v>-308</v>
      </c>
      <c r="I92" s="20" t="n">
        <v>-97</v>
      </c>
      <c r="J92" s="20" t="n">
        <v>-1162</v>
      </c>
      <c r="K92" s="20" t="n">
        <v>-1102</v>
      </c>
      <c r="L92" s="21">
        <f>ABS(C92)</f>
        <v/>
      </c>
      <c r="M92" s="21">
        <f>ABS(D92)</f>
        <v/>
      </c>
      <c r="N92" s="22">
        <f>(C92-AVERAGE(C$4:C$213))/STDEVP(C$4:C$213)</f>
        <v/>
      </c>
      <c r="O92" s="23">
        <f>L92/MEDIAN(L$4:L$213)</f>
        <v/>
      </c>
      <c r="P92" s="24">
        <f>IF(N92&gt;=요약!$C$5,"대량매수",IF(N92&lt;=-요약!$C$5,"대량매도",""))</f>
        <v/>
      </c>
      <c r="Q92" s="22">
        <f>(D92-AVERAGE(D$4:D$213))/STDEVP(D$4:D$213)</f>
        <v/>
      </c>
      <c r="R92" s="23">
        <f>M92/MEDIAN(M$4:M$213)</f>
        <v/>
      </c>
      <c r="S92" s="24">
        <f>IF(Q92&gt;=요약!$C$5,"대량매수",IF(Q92&lt;=-요약!$C$5,"대량매도",""))</f>
        <v/>
      </c>
    </row>
    <row r="93">
      <c r="A93" s="19" t="n">
        <v>46164</v>
      </c>
      <c r="B93" s="20" t="n">
        <v>10655</v>
      </c>
      <c r="C93" s="20" t="n">
        <v>-19221</v>
      </c>
      <c r="D93" s="20" t="n">
        <v>7583</v>
      </c>
      <c r="E93" s="20" t="n">
        <v>7815</v>
      </c>
      <c r="F93" s="20" t="n">
        <v>-635</v>
      </c>
      <c r="G93" s="20" t="n">
        <v>1435</v>
      </c>
      <c r="H93" s="20" t="n">
        <v>6</v>
      </c>
      <c r="I93" s="20" t="n">
        <v>123</v>
      </c>
      <c r="J93" s="20" t="n">
        <v>-1161</v>
      </c>
      <c r="K93" s="20" t="n">
        <v>984</v>
      </c>
      <c r="L93" s="21">
        <f>ABS(C93)</f>
        <v/>
      </c>
      <c r="M93" s="21">
        <f>ABS(D93)</f>
        <v/>
      </c>
      <c r="N93" s="22">
        <f>(C93-AVERAGE(C$4:C$213))/STDEVP(C$4:C$213)</f>
        <v/>
      </c>
      <c r="O93" s="23">
        <f>L93/MEDIAN(L$4:L$213)</f>
        <v/>
      </c>
      <c r="P93" s="24">
        <f>IF(N93&gt;=요약!$C$5,"대량매수",IF(N93&lt;=-요약!$C$5,"대량매도",""))</f>
        <v/>
      </c>
      <c r="Q93" s="22">
        <f>(D93-AVERAGE(D$4:D$213))/STDEVP(D$4:D$213)</f>
        <v/>
      </c>
      <c r="R93" s="23">
        <f>M93/MEDIAN(M$4:M$213)</f>
        <v/>
      </c>
      <c r="S93" s="24">
        <f>IF(Q93&gt;=요약!$C$5,"대량매수",IF(Q93&lt;=-요약!$C$5,"대량매도",""))</f>
        <v/>
      </c>
    </row>
    <row r="94">
      <c r="A94" s="19" t="n">
        <v>46163</v>
      </c>
      <c r="B94" s="20" t="n">
        <v>-26754</v>
      </c>
      <c r="C94" s="20" t="n">
        <v>-2212</v>
      </c>
      <c r="D94" s="20" t="n">
        <v>29008</v>
      </c>
      <c r="E94" s="20" t="n">
        <v>26231</v>
      </c>
      <c r="F94" s="20" t="n">
        <v>-600</v>
      </c>
      <c r="G94" s="20" t="n">
        <v>4452</v>
      </c>
      <c r="H94" s="20" t="n">
        <v>49</v>
      </c>
      <c r="I94" s="20" t="n">
        <v>-165</v>
      </c>
      <c r="J94" s="20" t="n">
        <v>-959</v>
      </c>
      <c r="K94" s="20" t="n">
        <v>-43</v>
      </c>
      <c r="L94" s="21">
        <f>ABS(C94)</f>
        <v/>
      </c>
      <c r="M94" s="21">
        <f>ABS(D94)</f>
        <v/>
      </c>
      <c r="N94" s="22">
        <f>(C94-AVERAGE(C$4:C$213))/STDEVP(C$4:C$213)</f>
        <v/>
      </c>
      <c r="O94" s="23">
        <f>L94/MEDIAN(L$4:L$213)</f>
        <v/>
      </c>
      <c r="P94" s="24">
        <f>IF(N94&gt;=요약!$C$5,"대량매수",IF(N94&lt;=-요약!$C$5,"대량매도",""))</f>
        <v/>
      </c>
      <c r="Q94" s="22">
        <f>(D94-AVERAGE(D$4:D$213))/STDEVP(D$4:D$213)</f>
        <v/>
      </c>
      <c r="R94" s="23">
        <f>M94/MEDIAN(M$4:M$213)</f>
        <v/>
      </c>
      <c r="S94" s="24">
        <f>IF(Q94&gt;=요약!$C$5,"대량매수",IF(Q94&lt;=-요약!$C$5,"대량매도",""))</f>
        <v/>
      </c>
    </row>
    <row r="95">
      <c r="A95" s="19" t="n">
        <v>46162</v>
      </c>
      <c r="B95" s="20" t="n">
        <v>17104</v>
      </c>
      <c r="C95" s="20" t="n">
        <v>-29310</v>
      </c>
      <c r="D95" s="20" t="n">
        <v>11070</v>
      </c>
      <c r="E95" s="20" t="n">
        <v>9774</v>
      </c>
      <c r="F95" s="20" t="n">
        <v>68</v>
      </c>
      <c r="G95" s="20" t="n">
        <v>2553</v>
      </c>
      <c r="H95" s="20" t="n">
        <v>40</v>
      </c>
      <c r="I95" s="20" t="n">
        <v>150</v>
      </c>
      <c r="J95" s="20" t="n">
        <v>-1515</v>
      </c>
      <c r="K95" s="20" t="n">
        <v>1135</v>
      </c>
      <c r="L95" s="21">
        <f>ABS(C95)</f>
        <v/>
      </c>
      <c r="M95" s="21">
        <f>ABS(D95)</f>
        <v/>
      </c>
      <c r="N95" s="22">
        <f>(C95-AVERAGE(C$4:C$213))/STDEVP(C$4:C$213)</f>
        <v/>
      </c>
      <c r="O95" s="23">
        <f>L95/MEDIAN(L$4:L$213)</f>
        <v/>
      </c>
      <c r="P95" s="24">
        <f>IF(N95&gt;=요약!$C$5,"대량매수",IF(N95&lt;=-요약!$C$5,"대량매도",""))</f>
        <v/>
      </c>
      <c r="Q95" s="22">
        <f>(D95-AVERAGE(D$4:D$213))/STDEVP(D$4:D$213)</f>
        <v/>
      </c>
      <c r="R95" s="23">
        <f>M95/MEDIAN(M$4:M$213)</f>
        <v/>
      </c>
      <c r="S95" s="24">
        <f>IF(Q95&gt;=요약!$C$5,"대량매수",IF(Q95&lt;=-요약!$C$5,"대량매도",""))</f>
        <v/>
      </c>
    </row>
    <row r="96">
      <c r="A96" s="19" t="n">
        <v>46161</v>
      </c>
      <c r="B96" s="20" t="n">
        <v>56289</v>
      </c>
      <c r="C96" s="20" t="n">
        <v>-57242</v>
      </c>
      <c r="D96" s="20" t="n">
        <v>1575</v>
      </c>
      <c r="E96" s="20" t="n">
        <v>3215</v>
      </c>
      <c r="F96" s="20" t="n">
        <v>-7</v>
      </c>
      <c r="G96" s="20" t="n">
        <v>-376</v>
      </c>
      <c r="H96" s="20" t="n">
        <v>-43</v>
      </c>
      <c r="I96" s="20" t="n">
        <v>172</v>
      </c>
      <c r="J96" s="20" t="n">
        <v>-1386</v>
      </c>
      <c r="K96" s="20" t="n">
        <v>-622</v>
      </c>
      <c r="L96" s="21">
        <f>ABS(C96)</f>
        <v/>
      </c>
      <c r="M96" s="21">
        <f>ABS(D96)</f>
        <v/>
      </c>
      <c r="N96" s="22">
        <f>(C96-AVERAGE(C$4:C$213))/STDEVP(C$4:C$213)</f>
        <v/>
      </c>
      <c r="O96" s="23">
        <f>L96/MEDIAN(L$4:L$213)</f>
        <v/>
      </c>
      <c r="P96" s="24">
        <f>IF(N96&gt;=요약!$C$5,"대량매수",IF(N96&lt;=-요약!$C$5,"대량매도",""))</f>
        <v/>
      </c>
      <c r="Q96" s="22">
        <f>(D96-AVERAGE(D$4:D$213))/STDEVP(D$4:D$213)</f>
        <v/>
      </c>
      <c r="R96" s="23">
        <f>M96/MEDIAN(M$4:M$213)</f>
        <v/>
      </c>
      <c r="S96" s="24">
        <f>IF(Q96&gt;=요약!$C$5,"대량매수",IF(Q96&lt;=-요약!$C$5,"대량매도",""))</f>
        <v/>
      </c>
    </row>
    <row r="97">
      <c r="A97" s="19" t="n">
        <v>46160</v>
      </c>
      <c r="B97" s="20" t="n">
        <v>22094</v>
      </c>
      <c r="C97" s="20" t="n">
        <v>-36492</v>
      </c>
      <c r="D97" s="20" t="n">
        <v>13904</v>
      </c>
      <c r="E97" s="20" t="n">
        <v>14000</v>
      </c>
      <c r="F97" s="20" t="n">
        <v>-121</v>
      </c>
      <c r="G97" s="20" t="n">
        <v>158</v>
      </c>
      <c r="H97" s="20" t="n">
        <v>-251</v>
      </c>
      <c r="I97" s="20" t="n">
        <v>102</v>
      </c>
      <c r="J97" s="20" t="n">
        <v>16</v>
      </c>
      <c r="K97" s="20" t="n">
        <v>494</v>
      </c>
      <c r="L97" s="21">
        <f>ABS(C97)</f>
        <v/>
      </c>
      <c r="M97" s="21">
        <f>ABS(D97)</f>
        <v/>
      </c>
      <c r="N97" s="22">
        <f>(C97-AVERAGE(C$4:C$213))/STDEVP(C$4:C$213)</f>
        <v/>
      </c>
      <c r="O97" s="23">
        <f>L97/MEDIAN(L$4:L$213)</f>
        <v/>
      </c>
      <c r="P97" s="24">
        <f>IF(N97&gt;=요약!$C$5,"대량매수",IF(N97&lt;=-요약!$C$5,"대량매도",""))</f>
        <v/>
      </c>
      <c r="Q97" s="22">
        <f>(D97-AVERAGE(D$4:D$213))/STDEVP(D$4:D$213)</f>
        <v/>
      </c>
      <c r="R97" s="23">
        <f>M97/MEDIAN(M$4:M$213)</f>
        <v/>
      </c>
      <c r="S97" s="24">
        <f>IF(Q97&gt;=요약!$C$5,"대량매수",IF(Q97&lt;=-요약!$C$5,"대량매도",""))</f>
        <v/>
      </c>
    </row>
    <row r="98">
      <c r="A98" s="19" t="n">
        <v>46157</v>
      </c>
      <c r="B98" s="20" t="n">
        <v>72308</v>
      </c>
      <c r="C98" s="20" t="n">
        <v>-56040</v>
      </c>
      <c r="D98" s="20" t="n">
        <v>-17347</v>
      </c>
      <c r="E98" s="20" t="n">
        <v>-9325</v>
      </c>
      <c r="F98" s="20" t="n">
        <v>-278</v>
      </c>
      <c r="G98" s="20" t="n">
        <v>-6808</v>
      </c>
      <c r="H98" s="20" t="n">
        <v>-26</v>
      </c>
      <c r="I98" s="20" t="n">
        <v>39</v>
      </c>
      <c r="J98" s="20" t="n">
        <v>-949</v>
      </c>
      <c r="K98" s="20" t="n">
        <v>1079</v>
      </c>
      <c r="L98" s="21">
        <f>ABS(C98)</f>
        <v/>
      </c>
      <c r="M98" s="21">
        <f>ABS(D98)</f>
        <v/>
      </c>
      <c r="N98" s="22">
        <f>(C98-AVERAGE(C$4:C$213))/STDEVP(C$4:C$213)</f>
        <v/>
      </c>
      <c r="O98" s="23">
        <f>L98/MEDIAN(L$4:L$213)</f>
        <v/>
      </c>
      <c r="P98" s="24">
        <f>IF(N98&gt;=요약!$C$5,"대량매수",IF(N98&lt;=-요약!$C$5,"대량매도",""))</f>
        <v/>
      </c>
      <c r="Q98" s="22">
        <f>(D98-AVERAGE(D$4:D$213))/STDEVP(D$4:D$213)</f>
        <v/>
      </c>
      <c r="R98" s="23">
        <f>M98/MEDIAN(M$4:M$213)</f>
        <v/>
      </c>
      <c r="S98" s="24">
        <f>IF(Q98&gt;=요약!$C$5,"대량매수",IF(Q98&lt;=-요약!$C$5,"대량매도",""))</f>
        <v/>
      </c>
    </row>
    <row r="99">
      <c r="A99" s="19" t="n">
        <v>46156</v>
      </c>
      <c r="B99" s="20" t="n">
        <v>18499</v>
      </c>
      <c r="C99" s="20" t="n">
        <v>-21450</v>
      </c>
      <c r="D99" s="20" t="n">
        <v>1927</v>
      </c>
      <c r="E99" s="20" t="n">
        <v>12618</v>
      </c>
      <c r="F99" s="20" t="n">
        <v>-1750</v>
      </c>
      <c r="G99" s="20" t="n">
        <v>-6788</v>
      </c>
      <c r="H99" s="20" t="n">
        <v>-121</v>
      </c>
      <c r="I99" s="20" t="n">
        <v>-98</v>
      </c>
      <c r="J99" s="20" t="n">
        <v>-1933</v>
      </c>
      <c r="K99" s="20" t="n">
        <v>1024</v>
      </c>
      <c r="L99" s="21">
        <f>ABS(C99)</f>
        <v/>
      </c>
      <c r="M99" s="21">
        <f>ABS(D99)</f>
        <v/>
      </c>
      <c r="N99" s="22">
        <f>(C99-AVERAGE(C$4:C$213))/STDEVP(C$4:C$213)</f>
        <v/>
      </c>
      <c r="O99" s="23">
        <f>L99/MEDIAN(L$4:L$213)</f>
        <v/>
      </c>
      <c r="P99" s="24">
        <f>IF(N99&gt;=요약!$C$5,"대량매수",IF(N99&lt;=-요약!$C$5,"대량매도",""))</f>
        <v/>
      </c>
      <c r="Q99" s="22">
        <f>(D99-AVERAGE(D$4:D$213))/STDEVP(D$4:D$213)</f>
        <v/>
      </c>
      <c r="R99" s="23">
        <f>M99/MEDIAN(M$4:M$213)</f>
        <v/>
      </c>
      <c r="S99" s="24">
        <f>IF(Q99&gt;=요약!$C$5,"대량매수",IF(Q99&lt;=-요약!$C$5,"대량매도",""))</f>
        <v/>
      </c>
    </row>
    <row r="100">
      <c r="A100" s="19" t="n">
        <v>46155</v>
      </c>
      <c r="B100" s="20" t="n">
        <v>18868</v>
      </c>
      <c r="C100" s="20" t="n">
        <v>-37227</v>
      </c>
      <c r="D100" s="20" t="n">
        <v>16876</v>
      </c>
      <c r="E100" s="20" t="n">
        <v>18852</v>
      </c>
      <c r="F100" s="20" t="n">
        <v>-630</v>
      </c>
      <c r="G100" s="20" t="n">
        <v>1250</v>
      </c>
      <c r="H100" s="20" t="n">
        <v>67</v>
      </c>
      <c r="I100" s="20" t="n">
        <v>-300</v>
      </c>
      <c r="J100" s="20" t="n">
        <v>-2363</v>
      </c>
      <c r="K100" s="20" t="n">
        <v>1482</v>
      </c>
      <c r="L100" s="21">
        <f>ABS(C100)</f>
        <v/>
      </c>
      <c r="M100" s="21">
        <f>ABS(D100)</f>
        <v/>
      </c>
      <c r="N100" s="22">
        <f>(C100-AVERAGE(C$4:C$213))/STDEVP(C$4:C$213)</f>
        <v/>
      </c>
      <c r="O100" s="23">
        <f>L100/MEDIAN(L$4:L$213)</f>
        <v/>
      </c>
      <c r="P100" s="24">
        <f>IF(N100&gt;=요약!$C$5,"대량매수",IF(N100&lt;=-요약!$C$5,"대량매도",""))</f>
        <v/>
      </c>
      <c r="Q100" s="22">
        <f>(D100-AVERAGE(D$4:D$213))/STDEVP(D$4:D$213)</f>
        <v/>
      </c>
      <c r="R100" s="23">
        <f>M100/MEDIAN(M$4:M$213)</f>
        <v/>
      </c>
      <c r="S100" s="24">
        <f>IF(Q100&gt;=요약!$C$5,"대량매수",IF(Q100&lt;=-요약!$C$5,"대량매도",""))</f>
        <v/>
      </c>
    </row>
    <row r="101">
      <c r="A101" s="19" t="n">
        <v>46154</v>
      </c>
      <c r="B101" s="20" t="n">
        <v>66818</v>
      </c>
      <c r="C101" s="20" t="n">
        <v>-56090</v>
      </c>
      <c r="D101" s="20" t="n">
        <v>-12138</v>
      </c>
      <c r="E101" s="20" t="n">
        <v>-6205</v>
      </c>
      <c r="F101" s="20" t="n">
        <v>-1420</v>
      </c>
      <c r="G101" s="20" t="n">
        <v>-2476</v>
      </c>
      <c r="H101" s="20" t="n">
        <v>-110</v>
      </c>
      <c r="I101" s="20" t="n">
        <v>-70</v>
      </c>
      <c r="J101" s="20" t="n">
        <v>-1857</v>
      </c>
      <c r="K101" s="20" t="n">
        <v>1409</v>
      </c>
      <c r="L101" s="21">
        <f>ABS(C101)</f>
        <v/>
      </c>
      <c r="M101" s="21">
        <f>ABS(D101)</f>
        <v/>
      </c>
      <c r="N101" s="22">
        <f>(C101-AVERAGE(C$4:C$213))/STDEVP(C$4:C$213)</f>
        <v/>
      </c>
      <c r="O101" s="23">
        <f>L101/MEDIAN(L$4:L$213)</f>
        <v/>
      </c>
      <c r="P101" s="24">
        <f>IF(N101&gt;=요약!$C$5,"대량매수",IF(N101&lt;=-요약!$C$5,"대량매도",""))</f>
        <v/>
      </c>
      <c r="Q101" s="22">
        <f>(D101-AVERAGE(D$4:D$213))/STDEVP(D$4:D$213)</f>
        <v/>
      </c>
      <c r="R101" s="23">
        <f>M101/MEDIAN(M$4:M$213)</f>
        <v/>
      </c>
      <c r="S101" s="24">
        <f>IF(Q101&gt;=요약!$C$5,"대량매수",IF(Q101&lt;=-요약!$C$5,"대량매도",""))</f>
        <v/>
      </c>
    </row>
    <row r="102">
      <c r="A102" s="19" t="n">
        <v>46153</v>
      </c>
      <c r="B102" s="20" t="n">
        <v>28669</v>
      </c>
      <c r="C102" s="20" t="n">
        <v>-28147</v>
      </c>
      <c r="D102" s="20" t="n">
        <v>-458</v>
      </c>
      <c r="E102" s="20" t="n">
        <v>10028</v>
      </c>
      <c r="F102" s="20" t="n">
        <v>-3964</v>
      </c>
      <c r="G102" s="20" t="n">
        <v>-4006</v>
      </c>
      <c r="H102" s="20" t="n">
        <v>20</v>
      </c>
      <c r="I102" s="20" t="n">
        <v>412</v>
      </c>
      <c r="J102" s="20" t="n">
        <v>-2948</v>
      </c>
      <c r="K102" s="20" t="n">
        <v>-63</v>
      </c>
      <c r="L102" s="21">
        <f>ABS(C102)</f>
        <v/>
      </c>
      <c r="M102" s="21">
        <f>ABS(D102)</f>
        <v/>
      </c>
      <c r="N102" s="22">
        <f>(C102-AVERAGE(C$4:C$213))/STDEVP(C$4:C$213)</f>
        <v/>
      </c>
      <c r="O102" s="23">
        <f>L102/MEDIAN(L$4:L$213)</f>
        <v/>
      </c>
      <c r="P102" s="24">
        <f>IF(N102&gt;=요약!$C$5,"대량매수",IF(N102&lt;=-요약!$C$5,"대량매도",""))</f>
        <v/>
      </c>
      <c r="Q102" s="22">
        <f>(D102-AVERAGE(D$4:D$213))/STDEVP(D$4:D$213)</f>
        <v/>
      </c>
      <c r="R102" s="23">
        <f>M102/MEDIAN(M$4:M$213)</f>
        <v/>
      </c>
      <c r="S102" s="24">
        <f>IF(Q102&gt;=요약!$C$5,"대량매수",IF(Q102&lt;=-요약!$C$5,"대량매도",""))</f>
        <v/>
      </c>
    </row>
    <row r="103">
      <c r="A103" s="19" t="n">
        <v>46150</v>
      </c>
      <c r="B103" s="20" t="n">
        <v>39707</v>
      </c>
      <c r="C103" s="20" t="n">
        <v>-52967</v>
      </c>
      <c r="D103" s="20" t="n">
        <v>12542</v>
      </c>
      <c r="E103" s="20" t="n">
        <v>15166</v>
      </c>
      <c r="F103" s="20" t="n">
        <v>-826</v>
      </c>
      <c r="G103" s="20" t="n">
        <v>-1357</v>
      </c>
      <c r="H103" s="20" t="n">
        <v>-6</v>
      </c>
      <c r="I103" s="20" t="n">
        <v>67</v>
      </c>
      <c r="J103" s="20" t="n">
        <v>-502</v>
      </c>
      <c r="K103" s="20" t="n">
        <v>718</v>
      </c>
      <c r="L103" s="21">
        <f>ABS(C103)</f>
        <v/>
      </c>
      <c r="M103" s="21">
        <f>ABS(D103)</f>
        <v/>
      </c>
      <c r="N103" s="22">
        <f>(C103-AVERAGE(C$4:C$213))/STDEVP(C$4:C$213)</f>
        <v/>
      </c>
      <c r="O103" s="23">
        <f>L103/MEDIAN(L$4:L$213)</f>
        <v/>
      </c>
      <c r="P103" s="24">
        <f>IF(N103&gt;=요약!$C$5,"대량매수",IF(N103&lt;=-요약!$C$5,"대량매도",""))</f>
        <v/>
      </c>
      <c r="Q103" s="22">
        <f>(D103-AVERAGE(D$4:D$213))/STDEVP(D$4:D$213)</f>
        <v/>
      </c>
      <c r="R103" s="23">
        <f>M103/MEDIAN(M$4:M$213)</f>
        <v/>
      </c>
      <c r="S103" s="24">
        <f>IF(Q103&gt;=요약!$C$5,"대량매수",IF(Q103&lt;=-요약!$C$5,"대량매도",""))</f>
        <v/>
      </c>
    </row>
    <row r="104">
      <c r="A104" s="19" t="n">
        <v>46149</v>
      </c>
      <c r="B104" s="20" t="n">
        <v>59925</v>
      </c>
      <c r="C104" s="20" t="n">
        <v>-66987</v>
      </c>
      <c r="D104" s="20" t="n">
        <v>8917</v>
      </c>
      <c r="E104" s="20" t="n">
        <v>17617</v>
      </c>
      <c r="F104" s="20" t="n">
        <v>-806</v>
      </c>
      <c r="G104" s="20" t="n">
        <v>-8154</v>
      </c>
      <c r="H104" s="20" t="n">
        <v>-246</v>
      </c>
      <c r="I104" s="20" t="n">
        <v>11</v>
      </c>
      <c r="J104" s="20" t="n">
        <v>494</v>
      </c>
      <c r="K104" s="20" t="n">
        <v>-1855</v>
      </c>
      <c r="L104" s="21">
        <f>ABS(C104)</f>
        <v/>
      </c>
      <c r="M104" s="21">
        <f>ABS(D104)</f>
        <v/>
      </c>
      <c r="N104" s="22">
        <f>(C104-AVERAGE(C$4:C$213))/STDEVP(C$4:C$213)</f>
        <v/>
      </c>
      <c r="O104" s="23">
        <f>L104/MEDIAN(L$4:L$213)</f>
        <v/>
      </c>
      <c r="P104" s="24">
        <f>IF(N104&gt;=요약!$C$5,"대량매수",IF(N104&lt;=-요약!$C$5,"대량매도",""))</f>
        <v/>
      </c>
      <c r="Q104" s="22">
        <f>(D104-AVERAGE(D$4:D$213))/STDEVP(D$4:D$213)</f>
        <v/>
      </c>
      <c r="R104" s="23">
        <f>M104/MEDIAN(M$4:M$213)</f>
        <v/>
      </c>
      <c r="S104" s="24">
        <f>IF(Q104&gt;=요약!$C$5,"대량매수",IF(Q104&lt;=-요약!$C$5,"대량매도",""))</f>
        <v/>
      </c>
    </row>
    <row r="105">
      <c r="A105" s="19" t="n">
        <v>46148</v>
      </c>
      <c r="B105" s="20" t="n">
        <v>-5715</v>
      </c>
      <c r="C105" s="20" t="n">
        <v>31085</v>
      </c>
      <c r="D105" s="20" t="n">
        <v>-22894</v>
      </c>
      <c r="E105" s="20" t="n">
        <v>-8284</v>
      </c>
      <c r="F105" s="20" t="n">
        <v>-5084</v>
      </c>
      <c r="G105" s="20" t="n">
        <v>-7843</v>
      </c>
      <c r="H105" s="20" t="n">
        <v>-118</v>
      </c>
      <c r="I105" s="20" t="n">
        <v>24</v>
      </c>
      <c r="J105" s="20" t="n">
        <v>-1590</v>
      </c>
      <c r="K105" s="20" t="n">
        <v>-2476</v>
      </c>
      <c r="L105" s="21">
        <f>ABS(C105)</f>
        <v/>
      </c>
      <c r="M105" s="21">
        <f>ABS(D105)</f>
        <v/>
      </c>
      <c r="N105" s="22">
        <f>(C105-AVERAGE(C$4:C$213))/STDEVP(C$4:C$213)</f>
        <v/>
      </c>
      <c r="O105" s="23">
        <f>L105/MEDIAN(L$4:L$213)</f>
        <v/>
      </c>
      <c r="P105" s="24">
        <f>IF(N105&gt;=요약!$C$5,"대량매수",IF(N105&lt;=-요약!$C$5,"대량매도",""))</f>
        <v/>
      </c>
      <c r="Q105" s="22">
        <f>(D105-AVERAGE(D$4:D$213))/STDEVP(D$4:D$213)</f>
        <v/>
      </c>
      <c r="R105" s="23">
        <f>M105/MEDIAN(M$4:M$213)</f>
        <v/>
      </c>
      <c r="S105" s="24">
        <f>IF(Q105&gt;=요약!$C$5,"대량매수",IF(Q105&lt;=-요약!$C$5,"대량매도",""))</f>
        <v/>
      </c>
    </row>
    <row r="106">
      <c r="A106" s="19" t="n">
        <v>46146</v>
      </c>
      <c r="B106" s="20" t="n">
        <v>-47936</v>
      </c>
      <c r="C106" s="20" t="n">
        <v>29308</v>
      </c>
      <c r="D106" s="20" t="n">
        <v>20098</v>
      </c>
      <c r="E106" s="20" t="n">
        <v>19159</v>
      </c>
      <c r="F106" s="20" t="n">
        <v>-1221</v>
      </c>
      <c r="G106" s="20" t="n">
        <v>2657</v>
      </c>
      <c r="H106" s="20" t="n">
        <v>-79</v>
      </c>
      <c r="I106" s="20" t="n">
        <v>89</v>
      </c>
      <c r="J106" s="20" t="n">
        <v>-507</v>
      </c>
      <c r="K106" s="20" t="n">
        <v>-1470</v>
      </c>
      <c r="L106" s="21">
        <f>ABS(C106)</f>
        <v/>
      </c>
      <c r="M106" s="21">
        <f>ABS(D106)</f>
        <v/>
      </c>
      <c r="N106" s="22">
        <f>(C106-AVERAGE(C$4:C$213))/STDEVP(C$4:C$213)</f>
        <v/>
      </c>
      <c r="O106" s="23">
        <f>L106/MEDIAN(L$4:L$213)</f>
        <v/>
      </c>
      <c r="P106" s="24">
        <f>IF(N106&gt;=요약!$C$5,"대량매수",IF(N106&lt;=-요약!$C$5,"대량매도",""))</f>
        <v/>
      </c>
      <c r="Q106" s="22">
        <f>(D106-AVERAGE(D$4:D$213))/STDEVP(D$4:D$213)</f>
        <v/>
      </c>
      <c r="R106" s="23">
        <f>M106/MEDIAN(M$4:M$213)</f>
        <v/>
      </c>
      <c r="S106" s="24">
        <f>IF(Q106&gt;=요약!$C$5,"대량매수",IF(Q106&lt;=-요약!$C$5,"대량매도",""))</f>
        <v/>
      </c>
    </row>
    <row r="107">
      <c r="A107" s="19" t="n">
        <v>46142</v>
      </c>
      <c r="B107" s="20" t="n">
        <v>11824</v>
      </c>
      <c r="C107" s="20" t="n">
        <v>-14559</v>
      </c>
      <c r="D107" s="20" t="n">
        <v>2838</v>
      </c>
      <c r="E107" s="20" t="n">
        <v>5089</v>
      </c>
      <c r="F107" s="20" t="n">
        <v>-473</v>
      </c>
      <c r="G107" s="20" t="n">
        <v>-2219</v>
      </c>
      <c r="H107" s="20" t="n">
        <v>-32</v>
      </c>
      <c r="I107" s="20" t="n">
        <v>123</v>
      </c>
      <c r="J107" s="20" t="n">
        <v>350</v>
      </c>
      <c r="K107" s="20" t="n">
        <v>-103</v>
      </c>
      <c r="L107" s="21">
        <f>ABS(C107)</f>
        <v/>
      </c>
      <c r="M107" s="21">
        <f>ABS(D107)</f>
        <v/>
      </c>
      <c r="N107" s="22">
        <f>(C107-AVERAGE(C$4:C$213))/STDEVP(C$4:C$213)</f>
        <v/>
      </c>
      <c r="O107" s="23">
        <f>L107/MEDIAN(L$4:L$213)</f>
        <v/>
      </c>
      <c r="P107" s="24">
        <f>IF(N107&gt;=요약!$C$5,"대량매수",IF(N107&lt;=-요약!$C$5,"대량매도",""))</f>
        <v/>
      </c>
      <c r="Q107" s="22">
        <f>(D107-AVERAGE(D$4:D$213))/STDEVP(D$4:D$213)</f>
        <v/>
      </c>
      <c r="R107" s="23">
        <f>M107/MEDIAN(M$4:M$213)</f>
        <v/>
      </c>
      <c r="S107" s="24">
        <f>IF(Q107&gt;=요약!$C$5,"대량매수",IF(Q107&lt;=-요약!$C$5,"대량매도",""))</f>
        <v/>
      </c>
    </row>
    <row r="108">
      <c r="A108" s="19" t="n">
        <v>46141</v>
      </c>
      <c r="B108" s="20" t="n">
        <v>1681</v>
      </c>
      <c r="C108" s="20" t="n">
        <v>-6071</v>
      </c>
      <c r="D108" s="20" t="n">
        <v>4771</v>
      </c>
      <c r="E108" s="20" t="n">
        <v>1646</v>
      </c>
      <c r="F108" s="20" t="n">
        <v>129</v>
      </c>
      <c r="G108" s="20" t="n">
        <v>3058</v>
      </c>
      <c r="H108" s="20" t="n">
        <v>-26</v>
      </c>
      <c r="I108" s="20" t="n">
        <v>-15</v>
      </c>
      <c r="J108" s="20" t="n">
        <v>-21</v>
      </c>
      <c r="K108" s="20" t="n">
        <v>-381</v>
      </c>
      <c r="L108" s="21">
        <f>ABS(C108)</f>
        <v/>
      </c>
      <c r="M108" s="21">
        <f>ABS(D108)</f>
        <v/>
      </c>
      <c r="N108" s="22">
        <f>(C108-AVERAGE(C$4:C$213))/STDEVP(C$4:C$213)</f>
        <v/>
      </c>
      <c r="O108" s="23">
        <f>L108/MEDIAN(L$4:L$213)</f>
        <v/>
      </c>
      <c r="P108" s="24">
        <f>IF(N108&gt;=요약!$C$5,"대량매수",IF(N108&lt;=-요약!$C$5,"대량매도",""))</f>
        <v/>
      </c>
      <c r="Q108" s="22">
        <f>(D108-AVERAGE(D$4:D$213))/STDEVP(D$4:D$213)</f>
        <v/>
      </c>
      <c r="R108" s="23">
        <f>M108/MEDIAN(M$4:M$213)</f>
        <v/>
      </c>
      <c r="S108" s="24">
        <f>IF(Q108&gt;=요약!$C$5,"대량매수",IF(Q108&lt;=-요약!$C$5,"대량매도",""))</f>
        <v/>
      </c>
    </row>
    <row r="109">
      <c r="A109" s="19" t="n">
        <v>46140</v>
      </c>
      <c r="B109" s="20" t="n">
        <v>-1306</v>
      </c>
      <c r="C109" s="20" t="n">
        <v>-1843</v>
      </c>
      <c r="D109" s="20" t="n">
        <v>3532</v>
      </c>
      <c r="E109" s="20" t="n">
        <v>6839</v>
      </c>
      <c r="F109" s="20" t="n">
        <v>-1227</v>
      </c>
      <c r="G109" s="20" t="n">
        <v>-1564</v>
      </c>
      <c r="H109" s="20" t="n">
        <v>-267</v>
      </c>
      <c r="I109" s="20" t="n">
        <v>29</v>
      </c>
      <c r="J109" s="20" t="n">
        <v>-277</v>
      </c>
      <c r="K109" s="20" t="n">
        <v>-383</v>
      </c>
      <c r="L109" s="21">
        <f>ABS(C109)</f>
        <v/>
      </c>
      <c r="M109" s="21">
        <f>ABS(D109)</f>
        <v/>
      </c>
      <c r="N109" s="22">
        <f>(C109-AVERAGE(C$4:C$213))/STDEVP(C$4:C$213)</f>
        <v/>
      </c>
      <c r="O109" s="23">
        <f>L109/MEDIAN(L$4:L$213)</f>
        <v/>
      </c>
      <c r="P109" s="24">
        <f>IF(N109&gt;=요약!$C$5,"대량매수",IF(N109&lt;=-요약!$C$5,"대량매도",""))</f>
        <v/>
      </c>
      <c r="Q109" s="22">
        <f>(D109-AVERAGE(D$4:D$213))/STDEVP(D$4:D$213)</f>
        <v/>
      </c>
      <c r="R109" s="23">
        <f>M109/MEDIAN(M$4:M$213)</f>
        <v/>
      </c>
      <c r="S109" s="24">
        <f>IF(Q109&gt;=요약!$C$5,"대량매수",IF(Q109&lt;=-요약!$C$5,"대량매도",""))</f>
        <v/>
      </c>
    </row>
    <row r="110">
      <c r="A110" s="19" t="n">
        <v>46139</v>
      </c>
      <c r="B110" s="20" t="n">
        <v>-19758</v>
      </c>
      <c r="C110" s="20" t="n">
        <v>8563</v>
      </c>
      <c r="D110" s="20" t="n">
        <v>11349</v>
      </c>
      <c r="E110" s="20" t="n">
        <v>15492</v>
      </c>
      <c r="F110" s="20" t="n">
        <v>-915</v>
      </c>
      <c r="G110" s="20" t="n">
        <v>-1395</v>
      </c>
      <c r="H110" s="20" t="n">
        <v>-145</v>
      </c>
      <c r="I110" s="20" t="n">
        <v>82</v>
      </c>
      <c r="J110" s="20" t="n">
        <v>-1771</v>
      </c>
      <c r="K110" s="20" t="n">
        <v>-155</v>
      </c>
      <c r="L110" s="21">
        <f>ABS(C110)</f>
        <v/>
      </c>
      <c r="M110" s="21">
        <f>ABS(D110)</f>
        <v/>
      </c>
      <c r="N110" s="22">
        <f>(C110-AVERAGE(C$4:C$213))/STDEVP(C$4:C$213)</f>
        <v/>
      </c>
      <c r="O110" s="23">
        <f>L110/MEDIAN(L$4:L$213)</f>
        <v/>
      </c>
      <c r="P110" s="24">
        <f>IF(N110&gt;=요약!$C$5,"대량매수",IF(N110&lt;=-요약!$C$5,"대량매도",""))</f>
        <v/>
      </c>
      <c r="Q110" s="22">
        <f>(D110-AVERAGE(D$4:D$213))/STDEVP(D$4:D$213)</f>
        <v/>
      </c>
      <c r="R110" s="23">
        <f>M110/MEDIAN(M$4:M$213)</f>
        <v/>
      </c>
      <c r="S110" s="24">
        <f>IF(Q110&gt;=요약!$C$5,"대량매수",IF(Q110&lt;=-요약!$C$5,"대량매도",""))</f>
        <v/>
      </c>
    </row>
    <row r="111">
      <c r="A111" s="19" t="n">
        <v>46136</v>
      </c>
      <c r="B111" s="20" t="n">
        <v>11832</v>
      </c>
      <c r="C111" s="20" t="n">
        <v>-19496</v>
      </c>
      <c r="D111" s="20" t="n">
        <v>8053</v>
      </c>
      <c r="E111" s="20" t="n">
        <v>10383</v>
      </c>
      <c r="F111" s="20" t="n">
        <v>-409</v>
      </c>
      <c r="G111" s="20" t="n">
        <v>-1332</v>
      </c>
      <c r="H111" s="20" t="n">
        <v>-390</v>
      </c>
      <c r="I111" s="20" t="n">
        <v>3</v>
      </c>
      <c r="J111" s="20" t="n">
        <v>-202</v>
      </c>
      <c r="K111" s="20" t="n">
        <v>-389</v>
      </c>
      <c r="L111" s="21">
        <f>ABS(C111)</f>
        <v/>
      </c>
      <c r="M111" s="21">
        <f>ABS(D111)</f>
        <v/>
      </c>
      <c r="N111" s="22">
        <f>(C111-AVERAGE(C$4:C$213))/STDEVP(C$4:C$213)</f>
        <v/>
      </c>
      <c r="O111" s="23">
        <f>L111/MEDIAN(L$4:L$213)</f>
        <v/>
      </c>
      <c r="P111" s="24">
        <f>IF(N111&gt;=요약!$C$5,"대량매수",IF(N111&lt;=-요약!$C$5,"대량매도",""))</f>
        <v/>
      </c>
      <c r="Q111" s="22">
        <f>(D111-AVERAGE(D$4:D$213))/STDEVP(D$4:D$213)</f>
        <v/>
      </c>
      <c r="R111" s="23">
        <f>M111/MEDIAN(M$4:M$213)</f>
        <v/>
      </c>
      <c r="S111" s="24">
        <f>IF(Q111&gt;=요약!$C$5,"대량매수",IF(Q111&lt;=-요약!$C$5,"대량매도",""))</f>
        <v/>
      </c>
    </row>
    <row r="112">
      <c r="A112" s="19" t="n">
        <v>46135</v>
      </c>
      <c r="B112" s="20" t="n">
        <v>4514</v>
      </c>
      <c r="C112" s="20" t="n">
        <v>-820</v>
      </c>
      <c r="D112" s="20" t="n">
        <v>-2965</v>
      </c>
      <c r="E112" s="20" t="n">
        <v>177</v>
      </c>
      <c r="F112" s="20" t="n">
        <v>-1027</v>
      </c>
      <c r="G112" s="20" t="n">
        <v>-2299</v>
      </c>
      <c r="H112" s="20" t="n">
        <v>-14</v>
      </c>
      <c r="I112" s="20" t="n">
        <v>1</v>
      </c>
      <c r="J112" s="20" t="n">
        <v>197</v>
      </c>
      <c r="K112" s="20" t="n">
        <v>-728</v>
      </c>
      <c r="L112" s="21">
        <f>ABS(C112)</f>
        <v/>
      </c>
      <c r="M112" s="21">
        <f>ABS(D112)</f>
        <v/>
      </c>
      <c r="N112" s="22">
        <f>(C112-AVERAGE(C$4:C$213))/STDEVP(C$4:C$213)</f>
        <v/>
      </c>
      <c r="O112" s="23">
        <f>L112/MEDIAN(L$4:L$213)</f>
        <v/>
      </c>
      <c r="P112" s="24">
        <f>IF(N112&gt;=요약!$C$5,"대량매수",IF(N112&lt;=-요약!$C$5,"대량매도",""))</f>
        <v/>
      </c>
      <c r="Q112" s="22">
        <f>(D112-AVERAGE(D$4:D$213))/STDEVP(D$4:D$213)</f>
        <v/>
      </c>
      <c r="R112" s="23">
        <f>M112/MEDIAN(M$4:M$213)</f>
        <v/>
      </c>
      <c r="S112" s="24">
        <f>IF(Q112&gt;=요약!$C$5,"대량매수",IF(Q112&lt;=-요약!$C$5,"대량매도",""))</f>
        <v/>
      </c>
    </row>
    <row r="113">
      <c r="A113" s="19" t="n">
        <v>46134</v>
      </c>
      <c r="B113" s="20" t="n">
        <v>11984</v>
      </c>
      <c r="C113" s="20" t="n">
        <v>-6762</v>
      </c>
      <c r="D113" s="20" t="n">
        <v>-4046</v>
      </c>
      <c r="E113" s="20" t="n">
        <v>-4102</v>
      </c>
      <c r="F113" s="20" t="n">
        <v>-270</v>
      </c>
      <c r="G113" s="20" t="n">
        <v>-720</v>
      </c>
      <c r="H113" s="20" t="n">
        <v>55</v>
      </c>
      <c r="I113" s="20" t="n">
        <v>-5</v>
      </c>
      <c r="J113" s="20" t="n">
        <v>995</v>
      </c>
      <c r="K113" s="20" t="n">
        <v>-1176</v>
      </c>
      <c r="L113" s="21">
        <f>ABS(C113)</f>
        <v/>
      </c>
      <c r="M113" s="21">
        <f>ABS(D113)</f>
        <v/>
      </c>
      <c r="N113" s="22">
        <f>(C113-AVERAGE(C$4:C$213))/STDEVP(C$4:C$213)</f>
        <v/>
      </c>
      <c r="O113" s="23">
        <f>L113/MEDIAN(L$4:L$213)</f>
        <v/>
      </c>
      <c r="P113" s="24">
        <f>IF(N113&gt;=요약!$C$5,"대량매수",IF(N113&lt;=-요약!$C$5,"대량매도",""))</f>
        <v/>
      </c>
      <c r="Q113" s="22">
        <f>(D113-AVERAGE(D$4:D$213))/STDEVP(D$4:D$213)</f>
        <v/>
      </c>
      <c r="R113" s="23">
        <f>M113/MEDIAN(M$4:M$213)</f>
        <v/>
      </c>
      <c r="S113" s="24">
        <f>IF(Q113&gt;=요약!$C$5,"대량매수",IF(Q113&lt;=-요약!$C$5,"대량매도",""))</f>
        <v/>
      </c>
    </row>
    <row r="114">
      <c r="A114" s="19" t="n">
        <v>46133</v>
      </c>
      <c r="B114" s="20" t="n">
        <v>-19204</v>
      </c>
      <c r="C114" s="20" t="n">
        <v>11565</v>
      </c>
      <c r="D114" s="20" t="n">
        <v>9181</v>
      </c>
      <c r="E114" s="20" t="n">
        <v>9753</v>
      </c>
      <c r="F114" s="20" t="n">
        <v>-1056</v>
      </c>
      <c r="G114" s="20" t="n">
        <v>117</v>
      </c>
      <c r="H114" s="20" t="n">
        <v>-206</v>
      </c>
      <c r="I114" s="20" t="n">
        <v>-50</v>
      </c>
      <c r="J114" s="20" t="n">
        <v>622</v>
      </c>
      <c r="K114" s="20" t="n">
        <v>-1541</v>
      </c>
      <c r="L114" s="21">
        <f>ABS(C114)</f>
        <v/>
      </c>
      <c r="M114" s="21">
        <f>ABS(D114)</f>
        <v/>
      </c>
      <c r="N114" s="22">
        <f>(C114-AVERAGE(C$4:C$213))/STDEVP(C$4:C$213)</f>
        <v/>
      </c>
      <c r="O114" s="23">
        <f>L114/MEDIAN(L$4:L$213)</f>
        <v/>
      </c>
      <c r="P114" s="24">
        <f>IF(N114&gt;=요약!$C$5,"대량매수",IF(N114&lt;=-요약!$C$5,"대량매도",""))</f>
        <v/>
      </c>
      <c r="Q114" s="22">
        <f>(D114-AVERAGE(D$4:D$213))/STDEVP(D$4:D$213)</f>
        <v/>
      </c>
      <c r="R114" s="23">
        <f>M114/MEDIAN(M$4:M$213)</f>
        <v/>
      </c>
      <c r="S114" s="24">
        <f>IF(Q114&gt;=요약!$C$5,"대량매수",IF(Q114&lt;=-요약!$C$5,"대량매도",""))</f>
        <v/>
      </c>
    </row>
    <row r="115">
      <c r="A115" s="19" t="n">
        <v>46132</v>
      </c>
      <c r="B115" s="20" t="n">
        <v>-3158</v>
      </c>
      <c r="C115" s="20" t="n">
        <v>-2338</v>
      </c>
      <c r="D115" s="20" t="n">
        <v>2938</v>
      </c>
      <c r="E115" s="20" t="n">
        <v>5183</v>
      </c>
      <c r="F115" s="20" t="n">
        <v>-610</v>
      </c>
      <c r="G115" s="20" t="n">
        <v>-1676</v>
      </c>
      <c r="H115" s="20" t="n">
        <v>33</v>
      </c>
      <c r="I115" s="20" t="n">
        <v>-72</v>
      </c>
      <c r="J115" s="20" t="n">
        <v>80</v>
      </c>
      <c r="K115" s="20" t="n">
        <v>2558</v>
      </c>
      <c r="L115" s="21">
        <f>ABS(C115)</f>
        <v/>
      </c>
      <c r="M115" s="21">
        <f>ABS(D115)</f>
        <v/>
      </c>
      <c r="N115" s="22">
        <f>(C115-AVERAGE(C$4:C$213))/STDEVP(C$4:C$213)</f>
        <v/>
      </c>
      <c r="O115" s="23">
        <f>L115/MEDIAN(L$4:L$213)</f>
        <v/>
      </c>
      <c r="P115" s="24">
        <f>IF(N115&gt;=요약!$C$5,"대량매수",IF(N115&lt;=-요약!$C$5,"대량매도",""))</f>
        <v/>
      </c>
      <c r="Q115" s="22">
        <f>(D115-AVERAGE(D$4:D$213))/STDEVP(D$4:D$213)</f>
        <v/>
      </c>
      <c r="R115" s="23">
        <f>M115/MEDIAN(M$4:M$213)</f>
        <v/>
      </c>
      <c r="S115" s="24">
        <f>IF(Q115&gt;=요약!$C$5,"대량매수",IF(Q115&lt;=-요약!$C$5,"대량매도",""))</f>
        <v/>
      </c>
    </row>
    <row r="116">
      <c r="A116" s="19" t="n">
        <v>46129</v>
      </c>
      <c r="B116" s="20" t="n">
        <v>14464</v>
      </c>
      <c r="C116" s="20" t="n">
        <v>-19974</v>
      </c>
      <c r="D116" s="20" t="n">
        <v>1501</v>
      </c>
      <c r="E116" s="20" t="n">
        <v>4343</v>
      </c>
      <c r="F116" s="20" t="n">
        <v>-622</v>
      </c>
      <c r="G116" s="20" t="n">
        <v>-1253</v>
      </c>
      <c r="H116" s="20" t="n">
        <v>-85</v>
      </c>
      <c r="I116" s="20" t="n">
        <v>-125</v>
      </c>
      <c r="J116" s="20" t="n">
        <v>-757</v>
      </c>
      <c r="K116" s="20" t="n">
        <v>4009</v>
      </c>
      <c r="L116" s="21">
        <f>ABS(C116)</f>
        <v/>
      </c>
      <c r="M116" s="21">
        <f>ABS(D116)</f>
        <v/>
      </c>
      <c r="N116" s="22">
        <f>(C116-AVERAGE(C$4:C$213))/STDEVP(C$4:C$213)</f>
        <v/>
      </c>
      <c r="O116" s="23">
        <f>L116/MEDIAN(L$4:L$213)</f>
        <v/>
      </c>
      <c r="P116" s="24">
        <f>IF(N116&gt;=요약!$C$5,"대량매수",IF(N116&lt;=-요약!$C$5,"대량매도",""))</f>
        <v/>
      </c>
      <c r="Q116" s="22">
        <f>(D116-AVERAGE(D$4:D$213))/STDEVP(D$4:D$213)</f>
        <v/>
      </c>
      <c r="R116" s="23">
        <f>M116/MEDIAN(M$4:M$213)</f>
        <v/>
      </c>
      <c r="S116" s="24">
        <f>IF(Q116&gt;=요약!$C$5,"대량매수",IF(Q116&lt;=-요약!$C$5,"대량매도",""))</f>
        <v/>
      </c>
    </row>
    <row r="117">
      <c r="A117" s="19" t="n">
        <v>46128</v>
      </c>
      <c r="B117" s="20" t="n">
        <v>-18050</v>
      </c>
      <c r="C117" s="20" t="n">
        <v>4814</v>
      </c>
      <c r="D117" s="20" t="n">
        <v>10783</v>
      </c>
      <c r="E117" s="20" t="n">
        <v>12460</v>
      </c>
      <c r="F117" s="20" t="n">
        <v>-447</v>
      </c>
      <c r="G117" s="20" t="n">
        <v>-772</v>
      </c>
      <c r="H117" s="20" t="n">
        <v>-7</v>
      </c>
      <c r="I117" s="20" t="n">
        <v>-153</v>
      </c>
      <c r="J117" s="20" t="n">
        <v>-299</v>
      </c>
      <c r="K117" s="20" t="n">
        <v>2453</v>
      </c>
      <c r="L117" s="21">
        <f>ABS(C117)</f>
        <v/>
      </c>
      <c r="M117" s="21">
        <f>ABS(D117)</f>
        <v/>
      </c>
      <c r="N117" s="22">
        <f>(C117-AVERAGE(C$4:C$213))/STDEVP(C$4:C$213)</f>
        <v/>
      </c>
      <c r="O117" s="23">
        <f>L117/MEDIAN(L$4:L$213)</f>
        <v/>
      </c>
      <c r="P117" s="24">
        <f>IF(N117&gt;=요약!$C$5,"대량매수",IF(N117&lt;=-요약!$C$5,"대량매도",""))</f>
        <v/>
      </c>
      <c r="Q117" s="22">
        <f>(D117-AVERAGE(D$4:D$213))/STDEVP(D$4:D$213)</f>
        <v/>
      </c>
      <c r="R117" s="23">
        <f>M117/MEDIAN(M$4:M$213)</f>
        <v/>
      </c>
      <c r="S117" s="24">
        <f>IF(Q117&gt;=요약!$C$5,"대량매수",IF(Q117&lt;=-요약!$C$5,"대량매도",""))</f>
        <v/>
      </c>
    </row>
    <row r="118">
      <c r="A118" s="19" t="n">
        <v>46127</v>
      </c>
      <c r="B118" s="20" t="n">
        <v>-9400</v>
      </c>
      <c r="C118" s="20" t="n">
        <v>4973</v>
      </c>
      <c r="D118" s="20" t="n">
        <v>368</v>
      </c>
      <c r="E118" s="20" t="n">
        <v>8214</v>
      </c>
      <c r="F118" s="20" t="n">
        <v>-1459</v>
      </c>
      <c r="G118" s="20" t="n">
        <v>-5294</v>
      </c>
      <c r="H118" s="20" t="n">
        <v>9</v>
      </c>
      <c r="I118" s="20" t="n">
        <v>14</v>
      </c>
      <c r="J118" s="20" t="n">
        <v>-1116</v>
      </c>
      <c r="K118" s="20" t="n">
        <v>4059</v>
      </c>
      <c r="L118" s="21">
        <f>ABS(C118)</f>
        <v/>
      </c>
      <c r="M118" s="21">
        <f>ABS(D118)</f>
        <v/>
      </c>
      <c r="N118" s="22">
        <f>(C118-AVERAGE(C$4:C$213))/STDEVP(C$4:C$213)</f>
        <v/>
      </c>
      <c r="O118" s="23">
        <f>L118/MEDIAN(L$4:L$213)</f>
        <v/>
      </c>
      <c r="P118" s="24">
        <f>IF(N118&gt;=요약!$C$5,"대량매수",IF(N118&lt;=-요약!$C$5,"대량매도",""))</f>
        <v/>
      </c>
      <c r="Q118" s="22">
        <f>(D118-AVERAGE(D$4:D$213))/STDEVP(D$4:D$213)</f>
        <v/>
      </c>
      <c r="R118" s="23">
        <f>M118/MEDIAN(M$4:M$213)</f>
        <v/>
      </c>
      <c r="S118" s="24">
        <f>IF(Q118&gt;=요약!$C$5,"대량매수",IF(Q118&lt;=-요약!$C$5,"대량매도",""))</f>
        <v/>
      </c>
    </row>
    <row r="119">
      <c r="A119" s="19" t="n">
        <v>46126</v>
      </c>
      <c r="B119" s="20" t="n">
        <v>-23919</v>
      </c>
      <c r="C119" s="20" t="n">
        <v>8276</v>
      </c>
      <c r="D119" s="20" t="n">
        <v>12545</v>
      </c>
      <c r="E119" s="20" t="n">
        <v>13513</v>
      </c>
      <c r="F119" s="20" t="n">
        <v>-652</v>
      </c>
      <c r="G119" s="20" t="n">
        <v>103</v>
      </c>
      <c r="H119" s="20" t="n">
        <v>-129</v>
      </c>
      <c r="I119" s="20" t="n">
        <v>-35</v>
      </c>
      <c r="J119" s="20" t="n">
        <v>-256</v>
      </c>
      <c r="K119" s="20" t="n">
        <v>3098</v>
      </c>
      <c r="L119" s="21">
        <f>ABS(C119)</f>
        <v/>
      </c>
      <c r="M119" s="21">
        <f>ABS(D119)</f>
        <v/>
      </c>
      <c r="N119" s="22">
        <f>(C119-AVERAGE(C$4:C$213))/STDEVP(C$4:C$213)</f>
        <v/>
      </c>
      <c r="O119" s="23">
        <f>L119/MEDIAN(L$4:L$213)</f>
        <v/>
      </c>
      <c r="P119" s="24">
        <f>IF(N119&gt;=요약!$C$5,"대량매수",IF(N119&lt;=-요약!$C$5,"대량매도",""))</f>
        <v/>
      </c>
      <c r="Q119" s="22">
        <f>(D119-AVERAGE(D$4:D$213))/STDEVP(D$4:D$213)</f>
        <v/>
      </c>
      <c r="R119" s="23">
        <f>M119/MEDIAN(M$4:M$213)</f>
        <v/>
      </c>
      <c r="S119" s="24">
        <f>IF(Q119&gt;=요약!$C$5,"대량매수",IF(Q119&lt;=-요약!$C$5,"대량매도",""))</f>
        <v/>
      </c>
    </row>
    <row r="120">
      <c r="A120" s="19" t="n">
        <v>46125</v>
      </c>
      <c r="B120" s="20" t="n">
        <v>7173</v>
      </c>
      <c r="C120" s="20" t="n">
        <v>-4579</v>
      </c>
      <c r="D120" s="20" t="n">
        <v>-6698</v>
      </c>
      <c r="E120" s="20" t="n">
        <v>-4814</v>
      </c>
      <c r="F120" s="20" t="n">
        <v>-295</v>
      </c>
      <c r="G120" s="20" t="n">
        <v>-194</v>
      </c>
      <c r="H120" s="20" t="n">
        <v>208</v>
      </c>
      <c r="I120" s="20" t="n">
        <v>130</v>
      </c>
      <c r="J120" s="20" t="n">
        <v>-1733</v>
      </c>
      <c r="K120" s="20" t="n">
        <v>4104</v>
      </c>
      <c r="L120" s="21">
        <f>ABS(C120)</f>
        <v/>
      </c>
      <c r="M120" s="21">
        <f>ABS(D120)</f>
        <v/>
      </c>
      <c r="N120" s="22">
        <f>(C120-AVERAGE(C$4:C$213))/STDEVP(C$4:C$213)</f>
        <v/>
      </c>
      <c r="O120" s="23">
        <f>L120/MEDIAN(L$4:L$213)</f>
        <v/>
      </c>
      <c r="P120" s="24">
        <f>IF(N120&gt;=요약!$C$5,"대량매수",IF(N120&lt;=-요약!$C$5,"대량매도",""))</f>
        <v/>
      </c>
      <c r="Q120" s="22">
        <f>(D120-AVERAGE(D$4:D$213))/STDEVP(D$4:D$213)</f>
        <v/>
      </c>
      <c r="R120" s="23">
        <f>M120/MEDIAN(M$4:M$213)</f>
        <v/>
      </c>
      <c r="S120" s="24">
        <f>IF(Q120&gt;=요약!$C$5,"대량매수",IF(Q120&lt;=-요약!$C$5,"대량매도",""))</f>
        <v/>
      </c>
    </row>
    <row r="121">
      <c r="A121" s="19" t="n">
        <v>46122</v>
      </c>
      <c r="B121" s="20" t="n">
        <v>-12280</v>
      </c>
      <c r="C121" s="20" t="n">
        <v>10641</v>
      </c>
      <c r="D121" s="20" t="n">
        <v>-2031</v>
      </c>
      <c r="E121" s="20" t="n">
        <v>868</v>
      </c>
      <c r="F121" s="20" t="n">
        <v>-215</v>
      </c>
      <c r="G121" s="20" t="n">
        <v>-2196</v>
      </c>
      <c r="H121" s="20" t="n">
        <v>-218</v>
      </c>
      <c r="I121" s="20" t="n">
        <v>145</v>
      </c>
      <c r="J121" s="20" t="n">
        <v>-416</v>
      </c>
      <c r="K121" s="20" t="n">
        <v>3670</v>
      </c>
      <c r="L121" s="21">
        <f>ABS(C121)</f>
        <v/>
      </c>
      <c r="M121" s="21">
        <f>ABS(D121)</f>
        <v/>
      </c>
      <c r="N121" s="22">
        <f>(C121-AVERAGE(C$4:C$213))/STDEVP(C$4:C$213)</f>
        <v/>
      </c>
      <c r="O121" s="23">
        <f>L121/MEDIAN(L$4:L$213)</f>
        <v/>
      </c>
      <c r="P121" s="24">
        <f>IF(N121&gt;=요약!$C$5,"대량매수",IF(N121&lt;=-요약!$C$5,"대량매도",""))</f>
        <v/>
      </c>
      <c r="Q121" s="22">
        <f>(D121-AVERAGE(D$4:D$213))/STDEVP(D$4:D$213)</f>
        <v/>
      </c>
      <c r="R121" s="23">
        <f>M121/MEDIAN(M$4:M$213)</f>
        <v/>
      </c>
      <c r="S121" s="24">
        <f>IF(Q121&gt;=요약!$C$5,"대량매수",IF(Q121&lt;=-요약!$C$5,"대량매도",""))</f>
        <v/>
      </c>
    </row>
    <row r="122">
      <c r="A122" s="19" t="n">
        <v>46121</v>
      </c>
      <c r="B122" s="20" t="n">
        <v>2950</v>
      </c>
      <c r="C122" s="20" t="n">
        <v>18476</v>
      </c>
      <c r="D122" s="20" t="n">
        <v>-25125</v>
      </c>
      <c r="E122" s="20" t="n">
        <v>5040</v>
      </c>
      <c r="F122" s="20" t="n">
        <v>334</v>
      </c>
      <c r="G122" s="20" t="n">
        <v>368</v>
      </c>
      <c r="H122" s="20" t="n">
        <v>-31117</v>
      </c>
      <c r="I122" s="20" t="n">
        <v>201</v>
      </c>
      <c r="J122" s="20" t="n">
        <v>49</v>
      </c>
      <c r="K122" s="20" t="n">
        <v>3698</v>
      </c>
      <c r="L122" s="21">
        <f>ABS(C122)</f>
        <v/>
      </c>
      <c r="M122" s="21">
        <f>ABS(D122)</f>
        <v/>
      </c>
      <c r="N122" s="22">
        <f>(C122-AVERAGE(C$4:C$213))/STDEVP(C$4:C$213)</f>
        <v/>
      </c>
      <c r="O122" s="23">
        <f>L122/MEDIAN(L$4:L$213)</f>
        <v/>
      </c>
      <c r="P122" s="24">
        <f>IF(N122&gt;=요약!$C$5,"대량매수",IF(N122&lt;=-요약!$C$5,"대량매도",""))</f>
        <v/>
      </c>
      <c r="Q122" s="22">
        <f>(D122-AVERAGE(D$4:D$213))/STDEVP(D$4:D$213)</f>
        <v/>
      </c>
      <c r="R122" s="23">
        <f>M122/MEDIAN(M$4:M$213)</f>
        <v/>
      </c>
      <c r="S122" s="24">
        <f>IF(Q122&gt;=요약!$C$5,"대량매수",IF(Q122&lt;=-요약!$C$5,"대량매도",""))</f>
        <v/>
      </c>
    </row>
    <row r="123">
      <c r="A123" s="19" t="n">
        <v>46120</v>
      </c>
      <c r="B123" s="20" t="n">
        <v>-54161</v>
      </c>
      <c r="C123" s="20" t="n">
        <v>19089</v>
      </c>
      <c r="D123" s="20" t="n">
        <v>27268</v>
      </c>
      <c r="E123" s="20" t="n">
        <v>29960</v>
      </c>
      <c r="F123" s="20" t="n">
        <v>-648</v>
      </c>
      <c r="G123" s="20" t="n">
        <v>-148</v>
      </c>
      <c r="H123" s="20" t="n">
        <v>60</v>
      </c>
      <c r="I123" s="20" t="n">
        <v>126</v>
      </c>
      <c r="J123" s="20" t="n">
        <v>-2083</v>
      </c>
      <c r="K123" s="20" t="n">
        <v>7805</v>
      </c>
      <c r="L123" s="21">
        <f>ABS(C123)</f>
        <v/>
      </c>
      <c r="M123" s="21">
        <f>ABS(D123)</f>
        <v/>
      </c>
      <c r="N123" s="22">
        <f>(C123-AVERAGE(C$4:C$213))/STDEVP(C$4:C$213)</f>
        <v/>
      </c>
      <c r="O123" s="23">
        <f>L123/MEDIAN(L$4:L$213)</f>
        <v/>
      </c>
      <c r="P123" s="24">
        <f>IF(N123&gt;=요약!$C$5,"대량매수",IF(N123&lt;=-요약!$C$5,"대량매도",""))</f>
        <v/>
      </c>
      <c r="Q123" s="22">
        <f>(D123-AVERAGE(D$4:D$213))/STDEVP(D$4:D$213)</f>
        <v/>
      </c>
      <c r="R123" s="23">
        <f>M123/MEDIAN(M$4:M$213)</f>
        <v/>
      </c>
      <c r="S123" s="24">
        <f>IF(Q123&gt;=요약!$C$5,"대량매수",IF(Q123&lt;=-요약!$C$5,"대량매도",""))</f>
        <v/>
      </c>
    </row>
    <row r="124">
      <c r="A124" s="19" t="n">
        <v>46119</v>
      </c>
      <c r="B124" s="20" t="n">
        <v>-3429</v>
      </c>
      <c r="C124" s="20" t="n">
        <v>3704</v>
      </c>
      <c r="D124" s="20" t="n">
        <v>-4001</v>
      </c>
      <c r="E124" s="20" t="n">
        <v>-3918</v>
      </c>
      <c r="F124" s="20" t="n">
        <v>127</v>
      </c>
      <c r="G124" s="20" t="n">
        <v>310</v>
      </c>
      <c r="H124" s="20" t="n">
        <v>33</v>
      </c>
      <c r="I124" s="20" t="n">
        <v>265</v>
      </c>
      <c r="J124" s="20" t="n">
        <v>-818</v>
      </c>
      <c r="K124" s="20" t="n">
        <v>3726</v>
      </c>
      <c r="L124" s="21">
        <f>ABS(C124)</f>
        <v/>
      </c>
      <c r="M124" s="21">
        <f>ABS(D124)</f>
        <v/>
      </c>
      <c r="N124" s="22">
        <f>(C124-AVERAGE(C$4:C$213))/STDEVP(C$4:C$213)</f>
        <v/>
      </c>
      <c r="O124" s="23">
        <f>L124/MEDIAN(L$4:L$213)</f>
        <v/>
      </c>
      <c r="P124" s="24">
        <f>IF(N124&gt;=요약!$C$5,"대량매수",IF(N124&lt;=-요약!$C$5,"대량매도",""))</f>
        <v/>
      </c>
      <c r="Q124" s="22">
        <f>(D124-AVERAGE(D$4:D$213))/STDEVP(D$4:D$213)</f>
        <v/>
      </c>
      <c r="R124" s="23">
        <f>M124/MEDIAN(M$4:M$213)</f>
        <v/>
      </c>
      <c r="S124" s="24">
        <f>IF(Q124&gt;=요약!$C$5,"대량매수",IF(Q124&lt;=-요약!$C$5,"대량매도",""))</f>
        <v/>
      </c>
    </row>
    <row r="125">
      <c r="A125" s="19" t="n">
        <v>46118</v>
      </c>
      <c r="B125" s="20" t="n">
        <v>-10502</v>
      </c>
      <c r="C125" s="20" t="n">
        <v>-1596</v>
      </c>
      <c r="D125" s="20" t="n">
        <v>8371</v>
      </c>
      <c r="E125" s="20" t="n">
        <v>7597</v>
      </c>
      <c r="F125" s="20" t="n">
        <v>99</v>
      </c>
      <c r="G125" s="20" t="n">
        <v>1373</v>
      </c>
      <c r="H125" s="20" t="n">
        <v>-135</v>
      </c>
      <c r="I125" s="20" t="n">
        <v>288</v>
      </c>
      <c r="J125" s="20" t="n">
        <v>-850</v>
      </c>
      <c r="K125" s="20" t="n">
        <v>3726</v>
      </c>
      <c r="L125" s="21">
        <f>ABS(C125)</f>
        <v/>
      </c>
      <c r="M125" s="21">
        <f>ABS(D125)</f>
        <v/>
      </c>
      <c r="N125" s="22">
        <f>(C125-AVERAGE(C$4:C$213))/STDEVP(C$4:C$213)</f>
        <v/>
      </c>
      <c r="O125" s="23">
        <f>L125/MEDIAN(L$4:L$213)</f>
        <v/>
      </c>
      <c r="P125" s="24">
        <f>IF(N125&gt;=요약!$C$5,"대량매수",IF(N125&lt;=-요약!$C$5,"대량매도",""))</f>
        <v/>
      </c>
      <c r="Q125" s="22">
        <f>(D125-AVERAGE(D$4:D$213))/STDEVP(D$4:D$213)</f>
        <v/>
      </c>
      <c r="R125" s="23">
        <f>M125/MEDIAN(M$4:M$213)</f>
        <v/>
      </c>
      <c r="S125" s="24">
        <f>IF(Q125&gt;=요약!$C$5,"대량매수",IF(Q125&lt;=-요약!$C$5,"대량매도",""))</f>
        <v/>
      </c>
    </row>
    <row r="126">
      <c r="A126" s="19" t="n">
        <v>46115</v>
      </c>
      <c r="B126" s="20" t="n">
        <v>-20952</v>
      </c>
      <c r="C126" s="20" t="n">
        <v>8035</v>
      </c>
      <c r="D126" s="20" t="n">
        <v>7390</v>
      </c>
      <c r="E126" s="20" t="n">
        <v>2839</v>
      </c>
      <c r="F126" s="20" t="n">
        <v>92</v>
      </c>
      <c r="G126" s="20" t="n">
        <v>4960</v>
      </c>
      <c r="H126" s="20" t="n">
        <v>28</v>
      </c>
      <c r="I126" s="20" t="n">
        <v>28</v>
      </c>
      <c r="J126" s="20" t="n">
        <v>-557</v>
      </c>
      <c r="K126" s="20" t="n">
        <v>5527</v>
      </c>
      <c r="L126" s="21">
        <f>ABS(C126)</f>
        <v/>
      </c>
      <c r="M126" s="21">
        <f>ABS(D126)</f>
        <v/>
      </c>
      <c r="N126" s="22">
        <f>(C126-AVERAGE(C$4:C$213))/STDEVP(C$4:C$213)</f>
        <v/>
      </c>
      <c r="O126" s="23">
        <f>L126/MEDIAN(L$4:L$213)</f>
        <v/>
      </c>
      <c r="P126" s="24">
        <f>IF(N126&gt;=요약!$C$5,"대량매수",IF(N126&lt;=-요약!$C$5,"대량매도",""))</f>
        <v/>
      </c>
      <c r="Q126" s="22">
        <f>(D126-AVERAGE(D$4:D$213))/STDEVP(D$4:D$213)</f>
        <v/>
      </c>
      <c r="R126" s="23">
        <f>M126/MEDIAN(M$4:M$213)</f>
        <v/>
      </c>
      <c r="S126" s="24">
        <f>IF(Q126&gt;=요약!$C$5,"대량매수",IF(Q126&lt;=-요약!$C$5,"대량매도",""))</f>
        <v/>
      </c>
    </row>
    <row r="127">
      <c r="A127" s="19" t="n">
        <v>46114</v>
      </c>
      <c r="B127" s="20" t="n">
        <v>12097</v>
      </c>
      <c r="C127" s="20" t="n">
        <v>-1368</v>
      </c>
      <c r="D127" s="20" t="n">
        <v>-14517</v>
      </c>
      <c r="E127" s="20" t="n">
        <v>-16900</v>
      </c>
      <c r="F127" s="20" t="n">
        <v>279</v>
      </c>
      <c r="G127" s="20" t="n">
        <v>1630</v>
      </c>
      <c r="H127" s="20" t="n">
        <v>75</v>
      </c>
      <c r="I127" s="20" t="n">
        <v>310</v>
      </c>
      <c r="J127" s="20" t="n">
        <v>91</v>
      </c>
      <c r="K127" s="20" t="n">
        <v>3788</v>
      </c>
      <c r="L127" s="21">
        <f>ABS(C127)</f>
        <v/>
      </c>
      <c r="M127" s="21">
        <f>ABS(D127)</f>
        <v/>
      </c>
      <c r="N127" s="22">
        <f>(C127-AVERAGE(C$4:C$213))/STDEVP(C$4:C$213)</f>
        <v/>
      </c>
      <c r="O127" s="23">
        <f>L127/MEDIAN(L$4:L$213)</f>
        <v/>
      </c>
      <c r="P127" s="24">
        <f>IF(N127&gt;=요약!$C$5,"대량매수",IF(N127&lt;=-요약!$C$5,"대량매도",""))</f>
        <v/>
      </c>
      <c r="Q127" s="22">
        <f>(D127-AVERAGE(D$4:D$213))/STDEVP(D$4:D$213)</f>
        <v/>
      </c>
      <c r="R127" s="23">
        <f>M127/MEDIAN(M$4:M$213)</f>
        <v/>
      </c>
      <c r="S127" s="24">
        <f>IF(Q127&gt;=요약!$C$5,"대량매수",IF(Q127&lt;=-요약!$C$5,"대량매도",""))</f>
        <v/>
      </c>
    </row>
    <row r="128">
      <c r="A128" s="19" t="n">
        <v>46113</v>
      </c>
      <c r="B128" s="20" t="n">
        <v>-37628</v>
      </c>
      <c r="C128" s="20" t="n">
        <v>-6411</v>
      </c>
      <c r="D128" s="20" t="n">
        <v>40419</v>
      </c>
      <c r="E128" s="20" t="n">
        <v>34308</v>
      </c>
      <c r="F128" s="20" t="n">
        <v>-136</v>
      </c>
      <c r="G128" s="20" t="n">
        <v>6145</v>
      </c>
      <c r="H128" s="20" t="n">
        <v>12</v>
      </c>
      <c r="I128" s="20" t="n">
        <v>281</v>
      </c>
      <c r="J128" s="20" t="n">
        <v>-192</v>
      </c>
      <c r="K128" s="20" t="n">
        <v>3620</v>
      </c>
      <c r="L128" s="21">
        <f>ABS(C128)</f>
        <v/>
      </c>
      <c r="M128" s="21">
        <f>ABS(D128)</f>
        <v/>
      </c>
      <c r="N128" s="22">
        <f>(C128-AVERAGE(C$4:C$213))/STDEVP(C$4:C$213)</f>
        <v/>
      </c>
      <c r="O128" s="23">
        <f>L128/MEDIAN(L$4:L$213)</f>
        <v/>
      </c>
      <c r="P128" s="24">
        <f>IF(N128&gt;=요약!$C$5,"대량매수",IF(N128&lt;=-요약!$C$5,"대량매도",""))</f>
        <v/>
      </c>
      <c r="Q128" s="22">
        <f>(D128-AVERAGE(D$4:D$213))/STDEVP(D$4:D$213)</f>
        <v/>
      </c>
      <c r="R128" s="23">
        <f>M128/MEDIAN(M$4:M$213)</f>
        <v/>
      </c>
      <c r="S128" s="24">
        <f>IF(Q128&gt;=요약!$C$5,"대량매수",IF(Q128&lt;=-요약!$C$5,"대량매도",""))</f>
        <v/>
      </c>
    </row>
    <row r="129">
      <c r="A129" s="19" t="n">
        <v>46112</v>
      </c>
      <c r="B129" s="20" t="n">
        <v>24400</v>
      </c>
      <c r="C129" s="20" t="n">
        <v>-38386</v>
      </c>
      <c r="D129" s="20" t="n">
        <v>10251</v>
      </c>
      <c r="E129" s="20" t="n">
        <v>9477</v>
      </c>
      <c r="F129" s="20" t="n">
        <v>453</v>
      </c>
      <c r="G129" s="20" t="n">
        <v>528</v>
      </c>
      <c r="H129" s="20" t="n">
        <v>-40</v>
      </c>
      <c r="I129" s="20" t="n">
        <v>123</v>
      </c>
      <c r="J129" s="20" t="n">
        <v>-291</v>
      </c>
      <c r="K129" s="20" t="n">
        <v>3735</v>
      </c>
      <c r="L129" s="21">
        <f>ABS(C129)</f>
        <v/>
      </c>
      <c r="M129" s="21">
        <f>ABS(D129)</f>
        <v/>
      </c>
      <c r="N129" s="22">
        <f>(C129-AVERAGE(C$4:C$213))/STDEVP(C$4:C$213)</f>
        <v/>
      </c>
      <c r="O129" s="23">
        <f>L129/MEDIAN(L$4:L$213)</f>
        <v/>
      </c>
      <c r="P129" s="24">
        <f>IF(N129&gt;=요약!$C$5,"대량매수",IF(N129&lt;=-요약!$C$5,"대량매도",""))</f>
        <v/>
      </c>
      <c r="Q129" s="22">
        <f>(D129-AVERAGE(D$4:D$213))/STDEVP(D$4:D$213)</f>
        <v/>
      </c>
      <c r="R129" s="23">
        <f>M129/MEDIAN(M$4:M$213)</f>
        <v/>
      </c>
      <c r="S129" s="24">
        <f>IF(Q129&gt;=요약!$C$5,"대량매수",IF(Q129&lt;=-요약!$C$5,"대량매도",""))</f>
        <v/>
      </c>
    </row>
    <row r="130">
      <c r="A130" s="19" t="n">
        <v>46111</v>
      </c>
      <c r="B130" s="20" t="n">
        <v>8945</v>
      </c>
      <c r="C130" s="20" t="n">
        <v>-20945</v>
      </c>
      <c r="D130" s="20" t="n">
        <v>8450</v>
      </c>
      <c r="E130" s="20" t="n">
        <v>7441</v>
      </c>
      <c r="F130" s="20" t="n">
        <v>93</v>
      </c>
      <c r="G130" s="20" t="n">
        <v>1674</v>
      </c>
      <c r="H130" s="20" t="n">
        <v>-80</v>
      </c>
      <c r="I130" s="20" t="n">
        <v>133</v>
      </c>
      <c r="J130" s="20" t="n">
        <v>-812</v>
      </c>
      <c r="K130" s="20" t="n">
        <v>3550</v>
      </c>
      <c r="L130" s="21">
        <f>ABS(C130)</f>
        <v/>
      </c>
      <c r="M130" s="21">
        <f>ABS(D130)</f>
        <v/>
      </c>
      <c r="N130" s="22">
        <f>(C130-AVERAGE(C$4:C$213))/STDEVP(C$4:C$213)</f>
        <v/>
      </c>
      <c r="O130" s="23">
        <f>L130/MEDIAN(L$4:L$213)</f>
        <v/>
      </c>
      <c r="P130" s="24">
        <f>IF(N130&gt;=요약!$C$5,"대량매수",IF(N130&lt;=-요약!$C$5,"대량매도",""))</f>
        <v/>
      </c>
      <c r="Q130" s="22">
        <f>(D130-AVERAGE(D$4:D$213))/STDEVP(D$4:D$213)</f>
        <v/>
      </c>
      <c r="R130" s="23">
        <f>M130/MEDIAN(M$4:M$213)</f>
        <v/>
      </c>
      <c r="S130" s="24">
        <f>IF(Q130&gt;=요약!$C$5,"대량매수",IF(Q130&lt;=-요약!$C$5,"대량매도",""))</f>
        <v/>
      </c>
    </row>
    <row r="131">
      <c r="A131" s="19" t="n">
        <v>46108</v>
      </c>
      <c r="B131" s="20" t="n">
        <v>22596</v>
      </c>
      <c r="C131" s="20" t="n">
        <v>-34286</v>
      </c>
      <c r="D131" s="20" t="n">
        <v>7785</v>
      </c>
      <c r="E131" s="20" t="n">
        <v>4181</v>
      </c>
      <c r="F131" s="20" t="n">
        <v>436</v>
      </c>
      <c r="G131" s="20" t="n">
        <v>3236</v>
      </c>
      <c r="H131" s="20" t="n">
        <v>-10</v>
      </c>
      <c r="I131" s="20" t="n">
        <v>170</v>
      </c>
      <c r="J131" s="20" t="n">
        <v>-228</v>
      </c>
      <c r="K131" s="20" t="n">
        <v>3905</v>
      </c>
      <c r="L131" s="21">
        <f>ABS(C131)</f>
        <v/>
      </c>
      <c r="M131" s="21">
        <f>ABS(D131)</f>
        <v/>
      </c>
      <c r="N131" s="22">
        <f>(C131-AVERAGE(C$4:C$213))/STDEVP(C$4:C$213)</f>
        <v/>
      </c>
      <c r="O131" s="23">
        <f>L131/MEDIAN(L$4:L$213)</f>
        <v/>
      </c>
      <c r="P131" s="24">
        <f>IF(N131&gt;=요약!$C$5,"대량매수",IF(N131&lt;=-요약!$C$5,"대량매도",""))</f>
        <v/>
      </c>
      <c r="Q131" s="22">
        <f>(D131-AVERAGE(D$4:D$213))/STDEVP(D$4:D$213)</f>
        <v/>
      </c>
      <c r="R131" s="23">
        <f>M131/MEDIAN(M$4:M$213)</f>
        <v/>
      </c>
      <c r="S131" s="24">
        <f>IF(Q131&gt;=요약!$C$5,"대량매수",IF(Q131&lt;=-요약!$C$5,"대량매도",""))</f>
        <v/>
      </c>
    </row>
    <row r="132">
      <c r="A132" s="19" t="n">
        <v>46107</v>
      </c>
      <c r="B132" s="20" t="n">
        <v>30598</v>
      </c>
      <c r="C132" s="20" t="n">
        <v>-29370</v>
      </c>
      <c r="D132" s="20" t="n">
        <v>-2999</v>
      </c>
      <c r="E132" s="20" t="n">
        <v>3185</v>
      </c>
      <c r="F132" s="20" t="n">
        <v>76</v>
      </c>
      <c r="G132" s="20" t="n">
        <v>-3811</v>
      </c>
      <c r="H132" s="20" t="n">
        <v>-122</v>
      </c>
      <c r="I132" s="20" t="n">
        <v>96</v>
      </c>
      <c r="J132" s="20" t="n">
        <v>-2423</v>
      </c>
      <c r="K132" s="20" t="n">
        <v>1771</v>
      </c>
      <c r="L132" s="21">
        <f>ABS(C132)</f>
        <v/>
      </c>
      <c r="M132" s="21">
        <f>ABS(D132)</f>
        <v/>
      </c>
      <c r="N132" s="22">
        <f>(C132-AVERAGE(C$4:C$213))/STDEVP(C$4:C$213)</f>
        <v/>
      </c>
      <c r="O132" s="23">
        <f>L132/MEDIAN(L$4:L$213)</f>
        <v/>
      </c>
      <c r="P132" s="24">
        <f>IF(N132&gt;=요약!$C$5,"대량매수",IF(N132&lt;=-요약!$C$5,"대량매도",""))</f>
        <v/>
      </c>
      <c r="Q132" s="22">
        <f>(D132-AVERAGE(D$4:D$213))/STDEVP(D$4:D$213)</f>
        <v/>
      </c>
      <c r="R132" s="23">
        <f>M132/MEDIAN(M$4:M$213)</f>
        <v/>
      </c>
      <c r="S132" s="24">
        <f>IF(Q132&gt;=요약!$C$5,"대량매수",IF(Q132&lt;=-요약!$C$5,"대량매도",""))</f>
        <v/>
      </c>
    </row>
    <row r="133">
      <c r="A133" s="19" t="n">
        <v>46106</v>
      </c>
      <c r="B133" s="20" t="n">
        <v>-13402</v>
      </c>
      <c r="C133" s="20" t="n">
        <v>-12895</v>
      </c>
      <c r="D133" s="20" t="n">
        <v>23230</v>
      </c>
      <c r="E133" s="20" t="n">
        <v>23351</v>
      </c>
      <c r="F133" s="20" t="n">
        <v>-312</v>
      </c>
      <c r="G133" s="20" t="n">
        <v>-92</v>
      </c>
      <c r="H133" s="20" t="n">
        <v>2</v>
      </c>
      <c r="I133" s="20" t="n">
        <v>133</v>
      </c>
      <c r="J133" s="20" t="n">
        <v>147</v>
      </c>
      <c r="K133" s="20" t="n">
        <v>3067</v>
      </c>
      <c r="L133" s="21">
        <f>ABS(C133)</f>
        <v/>
      </c>
      <c r="M133" s="21">
        <f>ABS(D133)</f>
        <v/>
      </c>
      <c r="N133" s="22">
        <f>(C133-AVERAGE(C$4:C$213))/STDEVP(C$4:C$213)</f>
        <v/>
      </c>
      <c r="O133" s="23">
        <f>L133/MEDIAN(L$4:L$213)</f>
        <v/>
      </c>
      <c r="P133" s="24">
        <f>IF(N133&gt;=요약!$C$5,"대량매수",IF(N133&lt;=-요약!$C$5,"대량매도",""))</f>
        <v/>
      </c>
      <c r="Q133" s="22">
        <f>(D133-AVERAGE(D$4:D$213))/STDEVP(D$4:D$213)</f>
        <v/>
      </c>
      <c r="R133" s="23">
        <f>M133/MEDIAN(M$4:M$213)</f>
        <v/>
      </c>
      <c r="S133" s="24">
        <f>IF(Q133&gt;=요약!$C$5,"대량매수",IF(Q133&lt;=-요약!$C$5,"대량매도",""))</f>
        <v/>
      </c>
    </row>
    <row r="134">
      <c r="A134" s="19" t="n">
        <v>46105</v>
      </c>
      <c r="B134" s="20" t="n">
        <v>7270</v>
      </c>
      <c r="C134" s="20" t="n">
        <v>-19863</v>
      </c>
      <c r="D134" s="20" t="n">
        <v>9683</v>
      </c>
      <c r="E134" s="20" t="n">
        <v>10178</v>
      </c>
      <c r="F134" s="20" t="n">
        <v>-320</v>
      </c>
      <c r="G134" s="20" t="n">
        <v>-734</v>
      </c>
      <c r="H134" s="20" t="n">
        <v>-12</v>
      </c>
      <c r="I134" s="20" t="n">
        <v>136</v>
      </c>
      <c r="J134" s="20" t="n">
        <v>435</v>
      </c>
      <c r="K134" s="20" t="n">
        <v>2910</v>
      </c>
      <c r="L134" s="21">
        <f>ABS(C134)</f>
        <v/>
      </c>
      <c r="M134" s="21">
        <f>ABS(D134)</f>
        <v/>
      </c>
      <c r="N134" s="22">
        <f>(C134-AVERAGE(C$4:C$213))/STDEVP(C$4:C$213)</f>
        <v/>
      </c>
      <c r="O134" s="23">
        <f>L134/MEDIAN(L$4:L$213)</f>
        <v/>
      </c>
      <c r="P134" s="24">
        <f>IF(N134&gt;=요약!$C$5,"대량매수",IF(N134&lt;=-요약!$C$5,"대량매도",""))</f>
        <v/>
      </c>
      <c r="Q134" s="22">
        <f>(D134-AVERAGE(D$4:D$213))/STDEVP(D$4:D$213)</f>
        <v/>
      </c>
      <c r="R134" s="23">
        <f>M134/MEDIAN(M$4:M$213)</f>
        <v/>
      </c>
      <c r="S134" s="24">
        <f>IF(Q134&gt;=요약!$C$5,"대량매수",IF(Q134&lt;=-요약!$C$5,"대량매도",""))</f>
        <v/>
      </c>
    </row>
    <row r="135">
      <c r="A135" s="19" t="n">
        <v>46104</v>
      </c>
      <c r="B135" s="20" t="n">
        <v>70029</v>
      </c>
      <c r="C135" s="20" t="n">
        <v>-36751</v>
      </c>
      <c r="D135" s="20" t="n">
        <v>-38173</v>
      </c>
      <c r="E135" s="20" t="n">
        <v>-30239</v>
      </c>
      <c r="F135" s="20" t="n">
        <v>159</v>
      </c>
      <c r="G135" s="20" t="n">
        <v>-6649</v>
      </c>
      <c r="H135" s="20" t="n">
        <v>64</v>
      </c>
      <c r="I135" s="20" t="n">
        <v>108</v>
      </c>
      <c r="J135" s="20" t="n">
        <v>-1617</v>
      </c>
      <c r="K135" s="20" t="n">
        <v>4895</v>
      </c>
      <c r="L135" s="21">
        <f>ABS(C135)</f>
        <v/>
      </c>
      <c r="M135" s="21">
        <f>ABS(D135)</f>
        <v/>
      </c>
      <c r="N135" s="22">
        <f>(C135-AVERAGE(C$4:C$213))/STDEVP(C$4:C$213)</f>
        <v/>
      </c>
      <c r="O135" s="23">
        <f>L135/MEDIAN(L$4:L$213)</f>
        <v/>
      </c>
      <c r="P135" s="24">
        <f>IF(N135&gt;=요약!$C$5,"대량매수",IF(N135&lt;=-요약!$C$5,"대량매도",""))</f>
        <v/>
      </c>
      <c r="Q135" s="22">
        <f>(D135-AVERAGE(D$4:D$213))/STDEVP(D$4:D$213)</f>
        <v/>
      </c>
      <c r="R135" s="23">
        <f>M135/MEDIAN(M$4:M$213)</f>
        <v/>
      </c>
      <c r="S135" s="24">
        <f>IF(Q135&gt;=요약!$C$5,"대량매수",IF(Q135&lt;=-요약!$C$5,"대량매도",""))</f>
        <v/>
      </c>
    </row>
    <row r="136">
      <c r="A136" s="19" t="n">
        <v>46101</v>
      </c>
      <c r="B136" s="20" t="n">
        <v>22338</v>
      </c>
      <c r="C136" s="20" t="n">
        <v>-12402</v>
      </c>
      <c r="D136" s="20" t="n">
        <v>-10260</v>
      </c>
      <c r="E136" s="20" t="n">
        <v>4566</v>
      </c>
      <c r="F136" s="20" t="n">
        <v>-14326</v>
      </c>
      <c r="G136" s="20" t="n">
        <v>-1182</v>
      </c>
      <c r="H136" s="20" t="n">
        <v>-8</v>
      </c>
      <c r="I136" s="20" t="n">
        <v>84</v>
      </c>
      <c r="J136" s="20" t="n">
        <v>606</v>
      </c>
      <c r="K136" s="20" t="n">
        <v>323</v>
      </c>
      <c r="L136" s="21">
        <f>ABS(C136)</f>
        <v/>
      </c>
      <c r="M136" s="21">
        <f>ABS(D136)</f>
        <v/>
      </c>
      <c r="N136" s="22">
        <f>(C136-AVERAGE(C$4:C$213))/STDEVP(C$4:C$213)</f>
        <v/>
      </c>
      <c r="O136" s="23">
        <f>L136/MEDIAN(L$4:L$213)</f>
        <v/>
      </c>
      <c r="P136" s="24">
        <f>IF(N136&gt;=요약!$C$5,"대량매수",IF(N136&lt;=-요약!$C$5,"대량매도",""))</f>
        <v/>
      </c>
      <c r="Q136" s="22">
        <f>(D136-AVERAGE(D$4:D$213))/STDEVP(D$4:D$213)</f>
        <v/>
      </c>
      <c r="R136" s="23">
        <f>M136/MEDIAN(M$4:M$213)</f>
        <v/>
      </c>
      <c r="S136" s="24">
        <f>IF(Q136&gt;=요약!$C$5,"대량매수",IF(Q136&lt;=-요약!$C$5,"대량매도",""))</f>
        <v/>
      </c>
    </row>
    <row r="137">
      <c r="A137" s="19" t="n">
        <v>46100</v>
      </c>
      <c r="B137" s="20" t="n">
        <v>24116</v>
      </c>
      <c r="C137" s="20" t="n">
        <v>-18760</v>
      </c>
      <c r="D137" s="20" t="n">
        <v>-6649</v>
      </c>
      <c r="E137" s="20" t="n">
        <v>-6655</v>
      </c>
      <c r="F137" s="20" t="n">
        <v>30</v>
      </c>
      <c r="G137" s="20" t="n">
        <v>417</v>
      </c>
      <c r="H137" s="20" t="n">
        <v>38</v>
      </c>
      <c r="I137" s="20" t="n">
        <v>170</v>
      </c>
      <c r="J137" s="20" t="n">
        <v>-649</v>
      </c>
      <c r="K137" s="20" t="n">
        <v>1294</v>
      </c>
      <c r="L137" s="21">
        <f>ABS(C137)</f>
        <v/>
      </c>
      <c r="M137" s="21">
        <f>ABS(D137)</f>
        <v/>
      </c>
      <c r="N137" s="22">
        <f>(C137-AVERAGE(C$4:C$213))/STDEVP(C$4:C$213)</f>
        <v/>
      </c>
      <c r="O137" s="23">
        <f>L137/MEDIAN(L$4:L$213)</f>
        <v/>
      </c>
      <c r="P137" s="24">
        <f>IF(N137&gt;=요약!$C$5,"대량매수",IF(N137&lt;=-요약!$C$5,"대량매도",""))</f>
        <v/>
      </c>
      <c r="Q137" s="22">
        <f>(D137-AVERAGE(D$4:D$213))/STDEVP(D$4:D$213)</f>
        <v/>
      </c>
      <c r="R137" s="23">
        <f>M137/MEDIAN(M$4:M$213)</f>
        <v/>
      </c>
      <c r="S137" s="24">
        <f>IF(Q137&gt;=요약!$C$5,"대량매수",IF(Q137&lt;=-요약!$C$5,"대량매도",""))</f>
        <v/>
      </c>
    </row>
    <row r="138">
      <c r="A138" s="19" t="n">
        <v>46099</v>
      </c>
      <c r="B138" s="20" t="n">
        <v>-38717</v>
      </c>
      <c r="C138" s="20" t="n">
        <v>8802</v>
      </c>
      <c r="D138" s="20" t="n">
        <v>31093</v>
      </c>
      <c r="E138" s="20" t="n">
        <v>30984</v>
      </c>
      <c r="F138" s="20" t="n">
        <v>-452</v>
      </c>
      <c r="G138" s="20" t="n">
        <v>-612</v>
      </c>
      <c r="H138" s="20" t="n">
        <v>67</v>
      </c>
      <c r="I138" s="20" t="n">
        <v>146</v>
      </c>
      <c r="J138" s="20" t="n">
        <v>960</v>
      </c>
      <c r="K138" s="20" t="n">
        <v>-1178</v>
      </c>
      <c r="L138" s="21">
        <f>ABS(C138)</f>
        <v/>
      </c>
      <c r="M138" s="21">
        <f>ABS(D138)</f>
        <v/>
      </c>
      <c r="N138" s="22">
        <f>(C138-AVERAGE(C$4:C$213))/STDEVP(C$4:C$213)</f>
        <v/>
      </c>
      <c r="O138" s="23">
        <f>L138/MEDIAN(L$4:L$213)</f>
        <v/>
      </c>
      <c r="P138" s="24">
        <f>IF(N138&gt;=요약!$C$5,"대량매수",IF(N138&lt;=-요약!$C$5,"대량매도",""))</f>
        <v/>
      </c>
      <c r="Q138" s="22">
        <f>(D138-AVERAGE(D$4:D$213))/STDEVP(D$4:D$213)</f>
        <v/>
      </c>
      <c r="R138" s="23">
        <f>M138/MEDIAN(M$4:M$213)</f>
        <v/>
      </c>
      <c r="S138" s="24">
        <f>IF(Q138&gt;=요약!$C$5,"대량매수",IF(Q138&lt;=-요약!$C$5,"대량매도",""))</f>
        <v/>
      </c>
    </row>
    <row r="139">
      <c r="A139" s="19" t="n">
        <v>46098</v>
      </c>
      <c r="B139" s="20" t="n">
        <v>-5752</v>
      </c>
      <c r="C139" s="20" t="n">
        <v>-1740</v>
      </c>
      <c r="D139" s="20" t="n">
        <v>7341</v>
      </c>
      <c r="E139" s="20" t="n">
        <v>4274</v>
      </c>
      <c r="F139" s="20" t="n">
        <v>-472</v>
      </c>
      <c r="G139" s="20" t="n">
        <v>2543</v>
      </c>
      <c r="H139" s="20" t="n">
        <v>-14</v>
      </c>
      <c r="I139" s="20" t="n">
        <v>167</v>
      </c>
      <c r="J139" s="20" t="n">
        <v>843</v>
      </c>
      <c r="K139" s="20" t="n">
        <v>152</v>
      </c>
      <c r="L139" s="21">
        <f>ABS(C139)</f>
        <v/>
      </c>
      <c r="M139" s="21">
        <f>ABS(D139)</f>
        <v/>
      </c>
      <c r="N139" s="22">
        <f>(C139-AVERAGE(C$4:C$213))/STDEVP(C$4:C$213)</f>
        <v/>
      </c>
      <c r="O139" s="23">
        <f>L139/MEDIAN(L$4:L$213)</f>
        <v/>
      </c>
      <c r="P139" s="24">
        <f>IF(N139&gt;=요약!$C$5,"대량매수",IF(N139&lt;=-요약!$C$5,"대량매도",""))</f>
        <v/>
      </c>
      <c r="Q139" s="22">
        <f>(D139-AVERAGE(D$4:D$213))/STDEVP(D$4:D$213)</f>
        <v/>
      </c>
      <c r="R139" s="23">
        <f>M139/MEDIAN(M$4:M$213)</f>
        <v/>
      </c>
      <c r="S139" s="24">
        <f>IF(Q139&gt;=요약!$C$5,"대량매수",IF(Q139&lt;=-요약!$C$5,"대량매도",""))</f>
        <v/>
      </c>
    </row>
    <row r="140">
      <c r="A140" s="19" t="n">
        <v>46097</v>
      </c>
      <c r="B140" s="20" t="n">
        <v>7164</v>
      </c>
      <c r="C140" s="20" t="n">
        <v>-8485</v>
      </c>
      <c r="D140" s="20" t="n">
        <v>911</v>
      </c>
      <c r="E140" s="20" t="n">
        <v>-1040</v>
      </c>
      <c r="F140" s="20" t="n">
        <v>135</v>
      </c>
      <c r="G140" s="20" t="n">
        <v>1164</v>
      </c>
      <c r="H140" s="20" t="n">
        <v>-13</v>
      </c>
      <c r="I140" s="20" t="n">
        <v>253</v>
      </c>
      <c r="J140" s="20" t="n">
        <v>412</v>
      </c>
      <c r="K140" s="20" t="n">
        <v>411</v>
      </c>
      <c r="L140" s="21">
        <f>ABS(C140)</f>
        <v/>
      </c>
      <c r="M140" s="21">
        <f>ABS(D140)</f>
        <v/>
      </c>
      <c r="N140" s="22">
        <f>(C140-AVERAGE(C$4:C$213))/STDEVP(C$4:C$213)</f>
        <v/>
      </c>
      <c r="O140" s="23">
        <f>L140/MEDIAN(L$4:L$213)</f>
        <v/>
      </c>
      <c r="P140" s="24">
        <f>IF(N140&gt;=요약!$C$5,"대량매수",IF(N140&lt;=-요약!$C$5,"대량매도",""))</f>
        <v/>
      </c>
      <c r="Q140" s="22">
        <f>(D140-AVERAGE(D$4:D$213))/STDEVP(D$4:D$213)</f>
        <v/>
      </c>
      <c r="R140" s="23">
        <f>M140/MEDIAN(M$4:M$213)</f>
        <v/>
      </c>
      <c r="S140" s="24">
        <f>IF(Q140&gt;=요약!$C$5,"대량매수",IF(Q140&lt;=-요약!$C$5,"대량매도",""))</f>
        <v/>
      </c>
    </row>
    <row r="141">
      <c r="A141" s="19" t="n">
        <v>46094</v>
      </c>
      <c r="B141" s="20" t="n">
        <v>24512</v>
      </c>
      <c r="C141" s="20" t="n">
        <v>-14502</v>
      </c>
      <c r="D141" s="20" t="n">
        <v>-10434</v>
      </c>
      <c r="E141" s="20" t="n">
        <v>-9500</v>
      </c>
      <c r="F141" s="20" t="n">
        <v>13</v>
      </c>
      <c r="G141" s="20" t="n">
        <v>-1482</v>
      </c>
      <c r="H141" s="20" t="n">
        <v>32</v>
      </c>
      <c r="I141" s="20" t="n">
        <v>218</v>
      </c>
      <c r="J141" s="20" t="n">
        <v>285</v>
      </c>
      <c r="K141" s="20" t="n">
        <v>424</v>
      </c>
      <c r="L141" s="21">
        <f>ABS(C141)</f>
        <v/>
      </c>
      <c r="M141" s="21">
        <f>ABS(D141)</f>
        <v/>
      </c>
      <c r="N141" s="22">
        <f>(C141-AVERAGE(C$4:C$213))/STDEVP(C$4:C$213)</f>
        <v/>
      </c>
      <c r="O141" s="23">
        <f>L141/MEDIAN(L$4:L$213)</f>
        <v/>
      </c>
      <c r="P141" s="24">
        <f>IF(N141&gt;=요약!$C$5,"대량매수",IF(N141&lt;=-요약!$C$5,"대량매도",""))</f>
        <v/>
      </c>
      <c r="Q141" s="22">
        <f>(D141-AVERAGE(D$4:D$213))/STDEVP(D$4:D$213)</f>
        <v/>
      </c>
      <c r="R141" s="23">
        <f>M141/MEDIAN(M$4:M$213)</f>
        <v/>
      </c>
      <c r="S141" s="24">
        <f>IF(Q141&gt;=요약!$C$5,"대량매수",IF(Q141&lt;=-요약!$C$5,"대량매도",""))</f>
        <v/>
      </c>
    </row>
    <row r="142">
      <c r="A142" s="19" t="n">
        <v>46093</v>
      </c>
      <c r="B142" s="20" t="n">
        <v>22291</v>
      </c>
      <c r="C142" s="20" t="n">
        <v>-23831</v>
      </c>
      <c r="D142" s="20" t="n">
        <v>775</v>
      </c>
      <c r="E142" s="20" t="n">
        <v>-746</v>
      </c>
      <c r="F142" s="20" t="n">
        <v>125</v>
      </c>
      <c r="G142" s="20" t="n">
        <v>1812</v>
      </c>
      <c r="H142" s="20" t="n">
        <v>12</v>
      </c>
      <c r="I142" s="20" t="n">
        <v>-53</v>
      </c>
      <c r="J142" s="20" t="n">
        <v>-374</v>
      </c>
      <c r="K142" s="20" t="n">
        <v>764</v>
      </c>
      <c r="L142" s="21">
        <f>ABS(C142)</f>
        <v/>
      </c>
      <c r="M142" s="21">
        <f>ABS(D142)</f>
        <v/>
      </c>
      <c r="N142" s="22">
        <f>(C142-AVERAGE(C$4:C$213))/STDEVP(C$4:C$213)</f>
        <v/>
      </c>
      <c r="O142" s="23">
        <f>L142/MEDIAN(L$4:L$213)</f>
        <v/>
      </c>
      <c r="P142" s="24">
        <f>IF(N142&gt;=요약!$C$5,"대량매수",IF(N142&lt;=-요약!$C$5,"대량매도",""))</f>
        <v/>
      </c>
      <c r="Q142" s="22">
        <f>(D142-AVERAGE(D$4:D$213))/STDEVP(D$4:D$213)</f>
        <v/>
      </c>
      <c r="R142" s="23">
        <f>M142/MEDIAN(M$4:M$213)</f>
        <v/>
      </c>
      <c r="S142" s="24">
        <f>IF(Q142&gt;=요약!$C$5,"대량매수",IF(Q142&lt;=-요약!$C$5,"대량매도",""))</f>
        <v/>
      </c>
    </row>
    <row r="143">
      <c r="A143" s="19" t="n">
        <v>46092</v>
      </c>
      <c r="B143" s="20" t="n">
        <v>-5086</v>
      </c>
      <c r="C143" s="20" t="n">
        <v>-2563</v>
      </c>
      <c r="D143" s="20" t="n">
        <v>7821</v>
      </c>
      <c r="E143" s="20" t="n">
        <v>7254</v>
      </c>
      <c r="F143" s="20" t="n">
        <v>-269</v>
      </c>
      <c r="G143" s="20" t="n">
        <v>1425</v>
      </c>
      <c r="H143" s="20" t="n">
        <v>94</v>
      </c>
      <c r="I143" s="20" t="n">
        <v>211</v>
      </c>
      <c r="J143" s="20" t="n">
        <v>-893</v>
      </c>
      <c r="K143" s="20" t="n">
        <v>-173</v>
      </c>
      <c r="L143" s="21">
        <f>ABS(C143)</f>
        <v/>
      </c>
      <c r="M143" s="21">
        <f>ABS(D143)</f>
        <v/>
      </c>
      <c r="N143" s="22">
        <f>(C143-AVERAGE(C$4:C$213))/STDEVP(C$4:C$213)</f>
        <v/>
      </c>
      <c r="O143" s="23">
        <f>L143/MEDIAN(L$4:L$213)</f>
        <v/>
      </c>
      <c r="P143" s="24">
        <f>IF(N143&gt;=요약!$C$5,"대량매수",IF(N143&lt;=-요약!$C$5,"대량매도",""))</f>
        <v/>
      </c>
      <c r="Q143" s="22">
        <f>(D143-AVERAGE(D$4:D$213))/STDEVP(D$4:D$213)</f>
        <v/>
      </c>
      <c r="R143" s="23">
        <f>M143/MEDIAN(M$4:M$213)</f>
        <v/>
      </c>
      <c r="S143" s="24">
        <f>IF(Q143&gt;=요약!$C$5,"대량매수",IF(Q143&lt;=-요약!$C$5,"대량매도",""))</f>
        <v/>
      </c>
    </row>
    <row r="144">
      <c r="A144" s="19" t="n">
        <v>46091</v>
      </c>
      <c r="B144" s="20" t="n">
        <v>-18340</v>
      </c>
      <c r="C144" s="20" t="n">
        <v>10283</v>
      </c>
      <c r="D144" s="20" t="n">
        <v>9164</v>
      </c>
      <c r="E144" s="20" t="n">
        <v>7448</v>
      </c>
      <c r="F144" s="20" t="n">
        <v>-447</v>
      </c>
      <c r="G144" s="20" t="n">
        <v>1956</v>
      </c>
      <c r="H144" s="20" t="n">
        <v>26</v>
      </c>
      <c r="I144" s="20" t="n">
        <v>275</v>
      </c>
      <c r="J144" s="20" t="n">
        <v>-93</v>
      </c>
      <c r="K144" s="20" t="n">
        <v>-1107</v>
      </c>
      <c r="L144" s="21">
        <f>ABS(C144)</f>
        <v/>
      </c>
      <c r="M144" s="21">
        <f>ABS(D144)</f>
        <v/>
      </c>
      <c r="N144" s="22">
        <f>(C144-AVERAGE(C$4:C$213))/STDEVP(C$4:C$213)</f>
        <v/>
      </c>
      <c r="O144" s="23">
        <f>L144/MEDIAN(L$4:L$213)</f>
        <v/>
      </c>
      <c r="P144" s="24">
        <f>IF(N144&gt;=요약!$C$5,"대량매수",IF(N144&lt;=-요약!$C$5,"대량매도",""))</f>
        <v/>
      </c>
      <c r="Q144" s="22">
        <f>(D144-AVERAGE(D$4:D$213))/STDEVP(D$4:D$213)</f>
        <v/>
      </c>
      <c r="R144" s="23">
        <f>M144/MEDIAN(M$4:M$213)</f>
        <v/>
      </c>
      <c r="S144" s="24">
        <f>IF(Q144&gt;=요약!$C$5,"대량매수",IF(Q144&lt;=-요약!$C$5,"대량매도",""))</f>
        <v/>
      </c>
    </row>
    <row r="145">
      <c r="A145" s="19" t="n">
        <v>46090</v>
      </c>
      <c r="B145" s="20" t="n">
        <v>46242</v>
      </c>
      <c r="C145" s="20" t="n">
        <v>-31735</v>
      </c>
      <c r="D145" s="20" t="n">
        <v>-15441</v>
      </c>
      <c r="E145" s="20" t="n">
        <v>-11713</v>
      </c>
      <c r="F145" s="20" t="n">
        <v>111</v>
      </c>
      <c r="G145" s="20" t="n">
        <v>-2954</v>
      </c>
      <c r="H145" s="20" t="n">
        <v>-174</v>
      </c>
      <c r="I145" s="20" t="n">
        <v>310</v>
      </c>
      <c r="J145" s="20" t="n">
        <v>-1020</v>
      </c>
      <c r="K145" s="20" t="n">
        <v>934</v>
      </c>
      <c r="L145" s="21">
        <f>ABS(C145)</f>
        <v/>
      </c>
      <c r="M145" s="21">
        <f>ABS(D145)</f>
        <v/>
      </c>
      <c r="N145" s="22">
        <f>(C145-AVERAGE(C$4:C$213))/STDEVP(C$4:C$213)</f>
        <v/>
      </c>
      <c r="O145" s="23">
        <f>L145/MEDIAN(L$4:L$213)</f>
        <v/>
      </c>
      <c r="P145" s="24">
        <f>IF(N145&gt;=요약!$C$5,"대량매수",IF(N145&lt;=-요약!$C$5,"대량매도",""))</f>
        <v/>
      </c>
      <c r="Q145" s="22">
        <f>(D145-AVERAGE(D$4:D$213))/STDEVP(D$4:D$213)</f>
        <v/>
      </c>
      <c r="R145" s="23">
        <f>M145/MEDIAN(M$4:M$213)</f>
        <v/>
      </c>
      <c r="S145" s="24">
        <f>IF(Q145&gt;=요약!$C$5,"대량매수",IF(Q145&lt;=-요약!$C$5,"대량매도",""))</f>
        <v/>
      </c>
    </row>
    <row r="146">
      <c r="A146" s="19" t="n">
        <v>46087</v>
      </c>
      <c r="B146" s="20" t="n">
        <v>29488</v>
      </c>
      <c r="C146" s="20" t="n">
        <v>-19418</v>
      </c>
      <c r="D146" s="20" t="n">
        <v>-11142</v>
      </c>
      <c r="E146" s="20" t="n">
        <v>-5975</v>
      </c>
      <c r="F146" s="20" t="n">
        <v>-273</v>
      </c>
      <c r="G146" s="20" t="n">
        <v>-3625</v>
      </c>
      <c r="H146" s="20" t="n">
        <v>47</v>
      </c>
      <c r="I146" s="20" t="n">
        <v>432</v>
      </c>
      <c r="J146" s="20" t="n">
        <v>-1748</v>
      </c>
      <c r="K146" s="20" t="n">
        <v>1072</v>
      </c>
      <c r="L146" s="21">
        <f>ABS(C146)</f>
        <v/>
      </c>
      <c r="M146" s="21">
        <f>ABS(D146)</f>
        <v/>
      </c>
      <c r="N146" s="22">
        <f>(C146-AVERAGE(C$4:C$213))/STDEVP(C$4:C$213)</f>
        <v/>
      </c>
      <c r="O146" s="23">
        <f>L146/MEDIAN(L$4:L$213)</f>
        <v/>
      </c>
      <c r="P146" s="24">
        <f>IF(N146&gt;=요약!$C$5,"대량매수",IF(N146&lt;=-요약!$C$5,"대량매도",""))</f>
        <v/>
      </c>
      <c r="Q146" s="22">
        <f>(D146-AVERAGE(D$4:D$213))/STDEVP(D$4:D$213)</f>
        <v/>
      </c>
      <c r="R146" s="23">
        <f>M146/MEDIAN(M$4:M$213)</f>
        <v/>
      </c>
      <c r="S146" s="24">
        <f>IF(Q146&gt;=요약!$C$5,"대량매수",IF(Q146&lt;=-요약!$C$5,"대량매도",""))</f>
        <v/>
      </c>
    </row>
    <row r="147">
      <c r="A147" s="19" t="n">
        <v>46086</v>
      </c>
      <c r="B147" s="20" t="n">
        <v>18228</v>
      </c>
      <c r="C147" s="20" t="n">
        <v>-1446</v>
      </c>
      <c r="D147" s="20" t="n">
        <v>-17186</v>
      </c>
      <c r="E147" s="20" t="n">
        <v>-12234</v>
      </c>
      <c r="F147" s="20" t="n">
        <v>-652</v>
      </c>
      <c r="G147" s="20" t="n">
        <v>-2520</v>
      </c>
      <c r="H147" s="20" t="n">
        <v>-720</v>
      </c>
      <c r="I147" s="20" t="n">
        <v>-189</v>
      </c>
      <c r="J147" s="20" t="n">
        <v>-872</v>
      </c>
      <c r="K147" s="20" t="n">
        <v>403</v>
      </c>
      <c r="L147" s="21">
        <f>ABS(C147)</f>
        <v/>
      </c>
      <c r="M147" s="21">
        <f>ABS(D147)</f>
        <v/>
      </c>
      <c r="N147" s="22">
        <f>(C147-AVERAGE(C$4:C$213))/STDEVP(C$4:C$213)</f>
        <v/>
      </c>
      <c r="O147" s="23">
        <f>L147/MEDIAN(L$4:L$213)</f>
        <v/>
      </c>
      <c r="P147" s="24">
        <f>IF(N147&gt;=요약!$C$5,"대량매수",IF(N147&lt;=-요약!$C$5,"대량매도",""))</f>
        <v/>
      </c>
      <c r="Q147" s="22">
        <f>(D147-AVERAGE(D$4:D$213))/STDEVP(D$4:D$213)</f>
        <v/>
      </c>
      <c r="R147" s="23">
        <f>M147/MEDIAN(M$4:M$213)</f>
        <v/>
      </c>
      <c r="S147" s="24">
        <f>IF(Q147&gt;=요약!$C$5,"대량매수",IF(Q147&lt;=-요약!$C$5,"대량매도",""))</f>
        <v/>
      </c>
    </row>
    <row r="148">
      <c r="A148" s="19" t="n">
        <v>46085</v>
      </c>
      <c r="B148" s="20" t="n">
        <v>796</v>
      </c>
      <c r="C148" s="20" t="n">
        <v>2303</v>
      </c>
      <c r="D148" s="20" t="n">
        <v>-5978</v>
      </c>
      <c r="E148" s="20" t="n">
        <v>-5830</v>
      </c>
      <c r="F148" s="20" t="n">
        <v>600</v>
      </c>
      <c r="G148" s="20" t="n">
        <v>209</v>
      </c>
      <c r="H148" s="20" t="n">
        <v>-223</v>
      </c>
      <c r="I148" s="20" t="n">
        <v>-7</v>
      </c>
      <c r="J148" s="20" t="n">
        <v>-727</v>
      </c>
      <c r="K148" s="20" t="n">
        <v>2880</v>
      </c>
      <c r="L148" s="21">
        <f>ABS(C148)</f>
        <v/>
      </c>
      <c r="M148" s="21">
        <f>ABS(D148)</f>
        <v/>
      </c>
      <c r="N148" s="22">
        <f>(C148-AVERAGE(C$4:C$213))/STDEVP(C$4:C$213)</f>
        <v/>
      </c>
      <c r="O148" s="23">
        <f>L148/MEDIAN(L$4:L$213)</f>
        <v/>
      </c>
      <c r="P148" s="24">
        <f>IF(N148&gt;=요약!$C$5,"대량매수",IF(N148&lt;=-요약!$C$5,"대량매도",""))</f>
        <v/>
      </c>
      <c r="Q148" s="22">
        <f>(D148-AVERAGE(D$4:D$213))/STDEVP(D$4:D$213)</f>
        <v/>
      </c>
      <c r="R148" s="23">
        <f>M148/MEDIAN(M$4:M$213)</f>
        <v/>
      </c>
      <c r="S148" s="24">
        <f>IF(Q148&gt;=요약!$C$5,"대량매수",IF(Q148&lt;=-요약!$C$5,"대량매도",""))</f>
        <v/>
      </c>
    </row>
    <row r="149">
      <c r="A149" s="19" t="n">
        <v>46084</v>
      </c>
      <c r="B149" s="20" t="n">
        <v>57974</v>
      </c>
      <c r="C149" s="20" t="n">
        <v>-51487</v>
      </c>
      <c r="D149" s="20" t="n">
        <v>-8859</v>
      </c>
      <c r="E149" s="20" t="n">
        <v>-7283</v>
      </c>
      <c r="F149" s="20" t="n">
        <v>425</v>
      </c>
      <c r="G149" s="20" t="n">
        <v>-1904</v>
      </c>
      <c r="H149" s="20" t="n">
        <v>-305</v>
      </c>
      <c r="I149" s="20" t="n">
        <v>-204</v>
      </c>
      <c r="J149" s="20" t="n">
        <v>412</v>
      </c>
      <c r="K149" s="20" t="n">
        <v>2372</v>
      </c>
      <c r="L149" s="21">
        <f>ABS(C149)</f>
        <v/>
      </c>
      <c r="M149" s="21">
        <f>ABS(D149)</f>
        <v/>
      </c>
      <c r="N149" s="22">
        <f>(C149-AVERAGE(C$4:C$213))/STDEVP(C$4:C$213)</f>
        <v/>
      </c>
      <c r="O149" s="23">
        <f>L149/MEDIAN(L$4:L$213)</f>
        <v/>
      </c>
      <c r="P149" s="24">
        <f>IF(N149&gt;=요약!$C$5,"대량매수",IF(N149&lt;=-요약!$C$5,"대량매도",""))</f>
        <v/>
      </c>
      <c r="Q149" s="22">
        <f>(D149-AVERAGE(D$4:D$213))/STDEVP(D$4:D$213)</f>
        <v/>
      </c>
      <c r="R149" s="23">
        <f>M149/MEDIAN(M$4:M$213)</f>
        <v/>
      </c>
      <c r="S149" s="24">
        <f>IF(Q149&gt;=요약!$C$5,"대량매수",IF(Q149&lt;=-요약!$C$5,"대량매도",""))</f>
        <v/>
      </c>
    </row>
    <row r="150">
      <c r="A150" s="19" t="n">
        <v>46080</v>
      </c>
      <c r="B150" s="20" t="n">
        <v>62496</v>
      </c>
      <c r="C150" s="20" t="n">
        <v>-70528</v>
      </c>
      <c r="D150" s="20" t="n">
        <v>5666</v>
      </c>
      <c r="E150" s="20" t="n">
        <v>11043</v>
      </c>
      <c r="F150" s="20" t="n">
        <v>-654</v>
      </c>
      <c r="G150" s="20" t="n">
        <v>-2544</v>
      </c>
      <c r="H150" s="20" t="n">
        <v>-5</v>
      </c>
      <c r="I150" s="20" t="n">
        <v>109</v>
      </c>
      <c r="J150" s="20" t="n">
        <v>-2283</v>
      </c>
      <c r="K150" s="20" t="n">
        <v>2366</v>
      </c>
      <c r="L150" s="21">
        <f>ABS(C150)</f>
        <v/>
      </c>
      <c r="M150" s="21">
        <f>ABS(D150)</f>
        <v/>
      </c>
      <c r="N150" s="22">
        <f>(C150-AVERAGE(C$4:C$213))/STDEVP(C$4:C$213)</f>
        <v/>
      </c>
      <c r="O150" s="23">
        <f>L150/MEDIAN(L$4:L$213)</f>
        <v/>
      </c>
      <c r="P150" s="24">
        <f>IF(N150&gt;=요약!$C$5,"대량매수",IF(N150&lt;=-요약!$C$5,"대량매도",""))</f>
        <v/>
      </c>
      <c r="Q150" s="22">
        <f>(D150-AVERAGE(D$4:D$213))/STDEVP(D$4:D$213)</f>
        <v/>
      </c>
      <c r="R150" s="23">
        <f>M150/MEDIAN(M$4:M$213)</f>
        <v/>
      </c>
      <c r="S150" s="24">
        <f>IF(Q150&gt;=요약!$C$5,"대량매수",IF(Q150&lt;=-요약!$C$5,"대량매도",""))</f>
        <v/>
      </c>
    </row>
    <row r="151">
      <c r="A151" s="19" t="n">
        <v>46079</v>
      </c>
      <c r="B151" s="20" t="n">
        <v>6498</v>
      </c>
      <c r="C151" s="20" t="n">
        <v>-21135</v>
      </c>
      <c r="D151" s="20" t="n">
        <v>12569</v>
      </c>
      <c r="E151" s="20" t="n">
        <v>16371</v>
      </c>
      <c r="F151" s="20" t="n">
        <v>-2084</v>
      </c>
      <c r="G151" s="20" t="n">
        <v>-756</v>
      </c>
      <c r="H151" s="20" t="n">
        <v>-100</v>
      </c>
      <c r="I151" s="20" t="n">
        <v>119</v>
      </c>
      <c r="J151" s="20" t="n">
        <v>-981</v>
      </c>
      <c r="K151" s="20" t="n">
        <v>2068</v>
      </c>
      <c r="L151" s="21">
        <f>ABS(C151)</f>
        <v/>
      </c>
      <c r="M151" s="21">
        <f>ABS(D151)</f>
        <v/>
      </c>
      <c r="N151" s="22">
        <f>(C151-AVERAGE(C$4:C$213))/STDEVP(C$4:C$213)</f>
        <v/>
      </c>
      <c r="O151" s="23">
        <f>L151/MEDIAN(L$4:L$213)</f>
        <v/>
      </c>
      <c r="P151" s="24">
        <f>IF(N151&gt;=요약!$C$5,"대량매수",IF(N151&lt;=-요약!$C$5,"대량매도",""))</f>
        <v/>
      </c>
      <c r="Q151" s="22">
        <f>(D151-AVERAGE(D$4:D$213))/STDEVP(D$4:D$213)</f>
        <v/>
      </c>
      <c r="R151" s="23">
        <f>M151/MEDIAN(M$4:M$213)</f>
        <v/>
      </c>
      <c r="S151" s="24">
        <f>IF(Q151&gt;=요약!$C$5,"대량매수",IF(Q151&lt;=-요약!$C$5,"대량매도",""))</f>
        <v/>
      </c>
    </row>
    <row r="152">
      <c r="A152" s="19" t="n">
        <v>46078</v>
      </c>
      <c r="B152" s="20" t="n">
        <v>2307</v>
      </c>
      <c r="C152" s="20" t="n">
        <v>-13082</v>
      </c>
      <c r="D152" s="20" t="n">
        <v>14701</v>
      </c>
      <c r="E152" s="20" t="n">
        <v>19937</v>
      </c>
      <c r="F152" s="20" t="n">
        <v>-1315</v>
      </c>
      <c r="G152" s="20" t="n">
        <v>-4730</v>
      </c>
      <c r="H152" s="20" t="n">
        <v>-6</v>
      </c>
      <c r="I152" s="20" t="n">
        <v>65</v>
      </c>
      <c r="J152" s="20" t="n">
        <v>750</v>
      </c>
      <c r="K152" s="20" t="n">
        <v>-3926</v>
      </c>
      <c r="L152" s="21">
        <f>ABS(C152)</f>
        <v/>
      </c>
      <c r="M152" s="21">
        <f>ABS(D152)</f>
        <v/>
      </c>
      <c r="N152" s="22">
        <f>(C152-AVERAGE(C$4:C$213))/STDEVP(C$4:C$213)</f>
        <v/>
      </c>
      <c r="O152" s="23">
        <f>L152/MEDIAN(L$4:L$213)</f>
        <v/>
      </c>
      <c r="P152" s="24">
        <f>IF(N152&gt;=요약!$C$5,"대량매수",IF(N152&lt;=-요약!$C$5,"대량매도",""))</f>
        <v/>
      </c>
      <c r="Q152" s="22">
        <f>(D152-AVERAGE(D$4:D$213))/STDEVP(D$4:D$213)</f>
        <v/>
      </c>
      <c r="R152" s="23">
        <f>M152/MEDIAN(M$4:M$213)</f>
        <v/>
      </c>
      <c r="S152" s="24">
        <f>IF(Q152&gt;=요약!$C$5,"대량매수",IF(Q152&lt;=-요약!$C$5,"대량매도",""))</f>
        <v/>
      </c>
    </row>
    <row r="153">
      <c r="A153" s="19" t="n">
        <v>46077</v>
      </c>
      <c r="B153" s="20" t="n">
        <v>-22861</v>
      </c>
      <c r="C153" s="20" t="n">
        <v>-2013</v>
      </c>
      <c r="D153" s="20" t="n">
        <v>23773</v>
      </c>
      <c r="E153" s="20" t="n">
        <v>26669</v>
      </c>
      <c r="F153" s="20" t="n">
        <v>-466</v>
      </c>
      <c r="G153" s="20" t="n">
        <v>-1683</v>
      </c>
      <c r="H153" s="20" t="n">
        <v>15</v>
      </c>
      <c r="I153" s="20" t="n">
        <v>-44</v>
      </c>
      <c r="J153" s="20" t="n">
        <v>-718</v>
      </c>
      <c r="K153" s="20" t="n">
        <v>1102</v>
      </c>
      <c r="L153" s="21">
        <f>ABS(C153)</f>
        <v/>
      </c>
      <c r="M153" s="21">
        <f>ABS(D153)</f>
        <v/>
      </c>
      <c r="N153" s="22">
        <f>(C153-AVERAGE(C$4:C$213))/STDEVP(C$4:C$213)</f>
        <v/>
      </c>
      <c r="O153" s="23">
        <f>L153/MEDIAN(L$4:L$213)</f>
        <v/>
      </c>
      <c r="P153" s="24">
        <f>IF(N153&gt;=요약!$C$5,"대량매수",IF(N153&lt;=-요약!$C$5,"대량매도",""))</f>
        <v/>
      </c>
      <c r="Q153" s="22">
        <f>(D153-AVERAGE(D$4:D$213))/STDEVP(D$4:D$213)</f>
        <v/>
      </c>
      <c r="R153" s="23">
        <f>M153/MEDIAN(M$4:M$213)</f>
        <v/>
      </c>
      <c r="S153" s="24">
        <f>IF(Q153&gt;=요약!$C$5,"대량매수",IF(Q153&lt;=-요약!$C$5,"대량매도",""))</f>
        <v/>
      </c>
    </row>
    <row r="154">
      <c r="A154" s="19" t="n">
        <v>46076</v>
      </c>
      <c r="B154" s="20" t="n">
        <v>10815</v>
      </c>
      <c r="C154" s="20" t="n">
        <v>-11132</v>
      </c>
      <c r="D154" s="20" t="n">
        <v>-1271</v>
      </c>
      <c r="E154" s="20" t="n">
        <v>5330</v>
      </c>
      <c r="F154" s="20" t="n">
        <v>-1600</v>
      </c>
      <c r="G154" s="20" t="n">
        <v>-2279</v>
      </c>
      <c r="H154" s="20" t="n">
        <v>-21</v>
      </c>
      <c r="I154" s="20" t="n">
        <v>-16</v>
      </c>
      <c r="J154" s="20" t="n">
        <v>-2685</v>
      </c>
      <c r="K154" s="20" t="n">
        <v>1588</v>
      </c>
      <c r="L154" s="21">
        <f>ABS(C154)</f>
        <v/>
      </c>
      <c r="M154" s="21">
        <f>ABS(D154)</f>
        <v/>
      </c>
      <c r="N154" s="22">
        <f>(C154-AVERAGE(C$4:C$213))/STDEVP(C$4:C$213)</f>
        <v/>
      </c>
      <c r="O154" s="23">
        <f>L154/MEDIAN(L$4:L$213)</f>
        <v/>
      </c>
      <c r="P154" s="24">
        <f>IF(N154&gt;=요약!$C$5,"대량매수",IF(N154&lt;=-요약!$C$5,"대량매도",""))</f>
        <v/>
      </c>
      <c r="Q154" s="22">
        <f>(D154-AVERAGE(D$4:D$213))/STDEVP(D$4:D$213)</f>
        <v/>
      </c>
      <c r="R154" s="23">
        <f>M154/MEDIAN(M$4:M$213)</f>
        <v/>
      </c>
      <c r="S154" s="24">
        <f>IF(Q154&gt;=요약!$C$5,"대량매수",IF(Q154&lt;=-요약!$C$5,"대량매도",""))</f>
        <v/>
      </c>
    </row>
    <row r="155">
      <c r="A155" s="19" t="n">
        <v>46073</v>
      </c>
      <c r="B155" s="20" t="n">
        <v>-9873</v>
      </c>
      <c r="C155" s="20" t="n">
        <v>-7420</v>
      </c>
      <c r="D155" s="20" t="n">
        <v>16149</v>
      </c>
      <c r="E155" s="20" t="n">
        <v>19351</v>
      </c>
      <c r="F155" s="20" t="n">
        <v>-739</v>
      </c>
      <c r="G155" s="20" t="n">
        <v>-972</v>
      </c>
      <c r="H155" s="20" t="n">
        <v>3</v>
      </c>
      <c r="I155" s="20" t="n">
        <v>-72</v>
      </c>
      <c r="J155" s="20" t="n">
        <v>-1422</v>
      </c>
      <c r="K155" s="20" t="n">
        <v>1143</v>
      </c>
      <c r="L155" s="21">
        <f>ABS(C155)</f>
        <v/>
      </c>
      <c r="M155" s="21">
        <f>ABS(D155)</f>
        <v/>
      </c>
      <c r="N155" s="22">
        <f>(C155-AVERAGE(C$4:C$213))/STDEVP(C$4:C$213)</f>
        <v/>
      </c>
      <c r="O155" s="23">
        <f>L155/MEDIAN(L$4:L$213)</f>
        <v/>
      </c>
      <c r="P155" s="24">
        <f>IF(N155&gt;=요약!$C$5,"대량매수",IF(N155&lt;=-요약!$C$5,"대량매도",""))</f>
        <v/>
      </c>
      <c r="Q155" s="22">
        <f>(D155-AVERAGE(D$4:D$213))/STDEVP(D$4:D$213)</f>
        <v/>
      </c>
      <c r="R155" s="23">
        <f>M155/MEDIAN(M$4:M$213)</f>
        <v/>
      </c>
      <c r="S155" s="24">
        <f>IF(Q155&gt;=요약!$C$5,"대량매수",IF(Q155&lt;=-요약!$C$5,"대량매도",""))</f>
        <v/>
      </c>
    </row>
    <row r="156">
      <c r="A156" s="19" t="n">
        <v>46072</v>
      </c>
      <c r="B156" s="20" t="n">
        <v>-8609</v>
      </c>
      <c r="C156" s="20" t="n">
        <v>-9396</v>
      </c>
      <c r="D156" s="20" t="n">
        <v>16542</v>
      </c>
      <c r="E156" s="20" t="n">
        <v>16691</v>
      </c>
      <c r="F156" s="20" t="n">
        <v>-1452</v>
      </c>
      <c r="G156" s="20" t="n">
        <v>1100</v>
      </c>
      <c r="H156" s="20" t="n">
        <v>-27</v>
      </c>
      <c r="I156" s="20" t="n">
        <v>77</v>
      </c>
      <c r="J156" s="20" t="n">
        <v>154</v>
      </c>
      <c r="K156" s="20" t="n">
        <v>1463</v>
      </c>
      <c r="L156" s="21">
        <f>ABS(C156)</f>
        <v/>
      </c>
      <c r="M156" s="21">
        <f>ABS(D156)</f>
        <v/>
      </c>
      <c r="N156" s="22">
        <f>(C156-AVERAGE(C$4:C$213))/STDEVP(C$4:C$213)</f>
        <v/>
      </c>
      <c r="O156" s="23">
        <f>L156/MEDIAN(L$4:L$213)</f>
        <v/>
      </c>
      <c r="P156" s="24">
        <f>IF(N156&gt;=요약!$C$5,"대량매수",IF(N156&lt;=-요약!$C$5,"대량매도",""))</f>
        <v/>
      </c>
      <c r="Q156" s="22">
        <f>(D156-AVERAGE(D$4:D$213))/STDEVP(D$4:D$213)</f>
        <v/>
      </c>
      <c r="R156" s="23">
        <f>M156/MEDIAN(M$4:M$213)</f>
        <v/>
      </c>
      <c r="S156" s="24">
        <f>IF(Q156&gt;=요약!$C$5,"대량매수",IF(Q156&lt;=-요약!$C$5,"대량매도",""))</f>
        <v/>
      </c>
    </row>
    <row r="157">
      <c r="A157" s="19" t="n">
        <v>46066</v>
      </c>
      <c r="B157" s="20" t="n">
        <v>7141</v>
      </c>
      <c r="C157" s="20" t="n">
        <v>-9220</v>
      </c>
      <c r="D157" s="20" t="n">
        <v>831</v>
      </c>
      <c r="E157" s="20" t="n">
        <v>1810</v>
      </c>
      <c r="F157" s="20" t="n">
        <v>-688</v>
      </c>
      <c r="G157" s="20" t="n">
        <v>-897</v>
      </c>
      <c r="H157" s="20" t="n">
        <v>-26</v>
      </c>
      <c r="I157" s="20" t="n">
        <v>69</v>
      </c>
      <c r="J157" s="20" t="n">
        <v>563</v>
      </c>
      <c r="K157" s="20" t="n">
        <v>1248</v>
      </c>
      <c r="L157" s="21">
        <f>ABS(C157)</f>
        <v/>
      </c>
      <c r="M157" s="21">
        <f>ABS(D157)</f>
        <v/>
      </c>
      <c r="N157" s="22">
        <f>(C157-AVERAGE(C$4:C$213))/STDEVP(C$4:C$213)</f>
        <v/>
      </c>
      <c r="O157" s="23">
        <f>L157/MEDIAN(L$4:L$213)</f>
        <v/>
      </c>
      <c r="P157" s="24">
        <f>IF(N157&gt;=요약!$C$5,"대량매수",IF(N157&lt;=-요약!$C$5,"대량매도",""))</f>
        <v/>
      </c>
      <c r="Q157" s="22">
        <f>(D157-AVERAGE(D$4:D$213))/STDEVP(D$4:D$213)</f>
        <v/>
      </c>
      <c r="R157" s="23">
        <f>M157/MEDIAN(M$4:M$213)</f>
        <v/>
      </c>
      <c r="S157" s="24">
        <f>IF(Q157&gt;=요약!$C$5,"대량매수",IF(Q157&lt;=-요약!$C$5,"대량매도",""))</f>
        <v/>
      </c>
    </row>
    <row r="158">
      <c r="A158" s="19" t="n">
        <v>46065</v>
      </c>
      <c r="B158" s="20" t="n">
        <v>-44547</v>
      </c>
      <c r="C158" s="20" t="n">
        <v>29954</v>
      </c>
      <c r="D158" s="20" t="n">
        <v>13800</v>
      </c>
      <c r="E158" s="20" t="n">
        <v>10816</v>
      </c>
      <c r="F158" s="20" t="n">
        <v>-815</v>
      </c>
      <c r="G158" s="20" t="n">
        <v>2718</v>
      </c>
      <c r="H158" s="20" t="n">
        <v>201</v>
      </c>
      <c r="I158" s="20" t="n">
        <v>158</v>
      </c>
      <c r="J158" s="20" t="n">
        <v>722</v>
      </c>
      <c r="K158" s="20" t="n">
        <v>793</v>
      </c>
      <c r="L158" s="21">
        <f>ABS(C158)</f>
        <v/>
      </c>
      <c r="M158" s="21">
        <f>ABS(D158)</f>
        <v/>
      </c>
      <c r="N158" s="22">
        <f>(C158-AVERAGE(C$4:C$213))/STDEVP(C$4:C$213)</f>
        <v/>
      </c>
      <c r="O158" s="23">
        <f>L158/MEDIAN(L$4:L$213)</f>
        <v/>
      </c>
      <c r="P158" s="24">
        <f>IF(N158&gt;=요약!$C$5,"대량매수",IF(N158&lt;=-요약!$C$5,"대량매도",""))</f>
        <v/>
      </c>
      <c r="Q158" s="22">
        <f>(D158-AVERAGE(D$4:D$213))/STDEVP(D$4:D$213)</f>
        <v/>
      </c>
      <c r="R158" s="23">
        <f>M158/MEDIAN(M$4:M$213)</f>
        <v/>
      </c>
      <c r="S158" s="24">
        <f>IF(Q158&gt;=요약!$C$5,"대량매수",IF(Q158&lt;=-요약!$C$5,"대량매도",""))</f>
        <v/>
      </c>
    </row>
    <row r="159">
      <c r="A159" s="19" t="n">
        <v>46064</v>
      </c>
      <c r="B159" s="20" t="n">
        <v>-17149</v>
      </c>
      <c r="C159" s="20" t="n">
        <v>8461</v>
      </c>
      <c r="D159" s="20" t="n">
        <v>6927</v>
      </c>
      <c r="E159" s="20" t="n">
        <v>5223</v>
      </c>
      <c r="F159" s="20" t="n">
        <v>-332</v>
      </c>
      <c r="G159" s="20" t="n">
        <v>2188</v>
      </c>
      <c r="H159" s="20" t="n">
        <v>-2</v>
      </c>
      <c r="I159" s="20" t="n">
        <v>112</v>
      </c>
      <c r="J159" s="20" t="n">
        <v>-263</v>
      </c>
      <c r="K159" s="20" t="n">
        <v>1761</v>
      </c>
      <c r="L159" s="21">
        <f>ABS(C159)</f>
        <v/>
      </c>
      <c r="M159" s="21">
        <f>ABS(D159)</f>
        <v/>
      </c>
      <c r="N159" s="22">
        <f>(C159-AVERAGE(C$4:C$213))/STDEVP(C$4:C$213)</f>
        <v/>
      </c>
      <c r="O159" s="23">
        <f>L159/MEDIAN(L$4:L$213)</f>
        <v/>
      </c>
      <c r="P159" s="24">
        <f>IF(N159&gt;=요약!$C$5,"대량매수",IF(N159&lt;=-요약!$C$5,"대량매도",""))</f>
        <v/>
      </c>
      <c r="Q159" s="22">
        <f>(D159-AVERAGE(D$4:D$213))/STDEVP(D$4:D$213)</f>
        <v/>
      </c>
      <c r="R159" s="23">
        <f>M159/MEDIAN(M$4:M$213)</f>
        <v/>
      </c>
      <c r="S159" s="24">
        <f>IF(Q159&gt;=요약!$C$5,"대량매수",IF(Q159&lt;=-요약!$C$5,"대량매도",""))</f>
        <v/>
      </c>
    </row>
    <row r="160">
      <c r="A160" s="19" t="n">
        <v>46063</v>
      </c>
      <c r="B160" s="20" t="n">
        <v>-8780</v>
      </c>
      <c r="C160" s="20" t="n">
        <v>1474</v>
      </c>
      <c r="D160" s="20" t="n">
        <v>5643</v>
      </c>
      <c r="E160" s="20" t="n">
        <v>7442</v>
      </c>
      <c r="F160" s="20" t="n">
        <v>-249</v>
      </c>
      <c r="G160" s="20" t="n">
        <v>-618</v>
      </c>
      <c r="H160" s="20" t="n">
        <v>-50</v>
      </c>
      <c r="I160" s="20" t="n">
        <v>95</v>
      </c>
      <c r="J160" s="20" t="n">
        <v>-977</v>
      </c>
      <c r="K160" s="20" t="n">
        <v>1663</v>
      </c>
      <c r="L160" s="21">
        <f>ABS(C160)</f>
        <v/>
      </c>
      <c r="M160" s="21">
        <f>ABS(D160)</f>
        <v/>
      </c>
      <c r="N160" s="22">
        <f>(C160-AVERAGE(C$4:C$213))/STDEVP(C$4:C$213)</f>
        <v/>
      </c>
      <c r="O160" s="23">
        <f>L160/MEDIAN(L$4:L$213)</f>
        <v/>
      </c>
      <c r="P160" s="24">
        <f>IF(N160&gt;=요약!$C$5,"대량매수",IF(N160&lt;=-요약!$C$5,"대량매도",""))</f>
        <v/>
      </c>
      <c r="Q160" s="22">
        <f>(D160-AVERAGE(D$4:D$213))/STDEVP(D$4:D$213)</f>
        <v/>
      </c>
      <c r="R160" s="23">
        <f>M160/MEDIAN(M$4:M$213)</f>
        <v/>
      </c>
      <c r="S160" s="24">
        <f>IF(Q160&gt;=요약!$C$5,"대량매수",IF(Q160&lt;=-요약!$C$5,"대량매도",""))</f>
        <v/>
      </c>
    </row>
    <row r="161">
      <c r="A161" s="19" t="n">
        <v>46062</v>
      </c>
      <c r="B161" s="20" t="n">
        <v>-32947</v>
      </c>
      <c r="C161" s="20" t="n">
        <v>4320</v>
      </c>
      <c r="D161" s="20" t="n">
        <v>27123</v>
      </c>
      <c r="E161" s="20" t="n">
        <v>24244</v>
      </c>
      <c r="F161" s="20" t="n">
        <v>-428</v>
      </c>
      <c r="G161" s="20" t="n">
        <v>4265</v>
      </c>
      <c r="H161" s="20" t="n">
        <v>-95</v>
      </c>
      <c r="I161" s="20" t="n">
        <v>0</v>
      </c>
      <c r="J161" s="20" t="n">
        <v>-863</v>
      </c>
      <c r="K161" s="20" t="n">
        <v>1504</v>
      </c>
      <c r="L161" s="21">
        <f>ABS(C161)</f>
        <v/>
      </c>
      <c r="M161" s="21">
        <f>ABS(D161)</f>
        <v/>
      </c>
      <c r="N161" s="22">
        <f>(C161-AVERAGE(C$4:C$213))/STDEVP(C$4:C$213)</f>
        <v/>
      </c>
      <c r="O161" s="23">
        <f>L161/MEDIAN(L$4:L$213)</f>
        <v/>
      </c>
      <c r="P161" s="24">
        <f>IF(N161&gt;=요약!$C$5,"대량매수",IF(N161&lt;=-요약!$C$5,"대량매도",""))</f>
        <v/>
      </c>
      <c r="Q161" s="22">
        <f>(D161-AVERAGE(D$4:D$213))/STDEVP(D$4:D$213)</f>
        <v/>
      </c>
      <c r="R161" s="23">
        <f>M161/MEDIAN(M$4:M$213)</f>
        <v/>
      </c>
      <c r="S161" s="24">
        <f>IF(Q161&gt;=요약!$C$5,"대량매수",IF(Q161&lt;=-요약!$C$5,"대량매도",""))</f>
        <v/>
      </c>
    </row>
    <row r="162">
      <c r="A162" s="19" t="n">
        <v>46059</v>
      </c>
      <c r="B162" s="20" t="n">
        <v>21736</v>
      </c>
      <c r="C162" s="20" t="n">
        <v>-33233</v>
      </c>
      <c r="D162" s="20" t="n">
        <v>9414</v>
      </c>
      <c r="E162" s="20" t="n">
        <v>5782</v>
      </c>
      <c r="F162" s="20" t="n">
        <v>239</v>
      </c>
      <c r="G162" s="20" t="n">
        <v>1899</v>
      </c>
      <c r="H162" s="20" t="n">
        <v>212</v>
      </c>
      <c r="I162" s="20" t="n">
        <v>-42</v>
      </c>
      <c r="J162" s="20" t="n">
        <v>1323</v>
      </c>
      <c r="K162" s="20" t="n">
        <v>2083</v>
      </c>
      <c r="L162" s="21">
        <f>ABS(C162)</f>
        <v/>
      </c>
      <c r="M162" s="21">
        <f>ABS(D162)</f>
        <v/>
      </c>
      <c r="N162" s="22">
        <f>(C162-AVERAGE(C$4:C$213))/STDEVP(C$4:C$213)</f>
        <v/>
      </c>
      <c r="O162" s="23">
        <f>L162/MEDIAN(L$4:L$213)</f>
        <v/>
      </c>
      <c r="P162" s="24">
        <f>IF(N162&gt;=요약!$C$5,"대량매수",IF(N162&lt;=-요약!$C$5,"대량매도",""))</f>
        <v/>
      </c>
      <c r="Q162" s="22">
        <f>(D162-AVERAGE(D$4:D$213))/STDEVP(D$4:D$213)</f>
        <v/>
      </c>
      <c r="R162" s="23">
        <f>M162/MEDIAN(M$4:M$213)</f>
        <v/>
      </c>
      <c r="S162" s="24">
        <f>IF(Q162&gt;=요약!$C$5,"대량매수",IF(Q162&lt;=-요약!$C$5,"대량매도",""))</f>
        <v/>
      </c>
    </row>
    <row r="163">
      <c r="A163" s="19" t="n">
        <v>46058</v>
      </c>
      <c r="B163" s="20" t="n">
        <v>67791</v>
      </c>
      <c r="C163" s="20" t="n">
        <v>-50108</v>
      </c>
      <c r="D163" s="20" t="n">
        <v>-20693</v>
      </c>
      <c r="E163" s="20" t="n">
        <v>-18829</v>
      </c>
      <c r="F163" s="20" t="n">
        <v>332</v>
      </c>
      <c r="G163" s="20" t="n">
        <v>-1419</v>
      </c>
      <c r="H163" s="20" t="n">
        <v>209</v>
      </c>
      <c r="I163" s="20" t="n">
        <v>-2</v>
      </c>
      <c r="J163" s="20" t="n">
        <v>-985</v>
      </c>
      <c r="K163" s="20" t="n">
        <v>3010</v>
      </c>
      <c r="L163" s="21">
        <f>ABS(C163)</f>
        <v/>
      </c>
      <c r="M163" s="21">
        <f>ABS(D163)</f>
        <v/>
      </c>
      <c r="N163" s="22">
        <f>(C163-AVERAGE(C$4:C$213))/STDEVP(C$4:C$213)</f>
        <v/>
      </c>
      <c r="O163" s="23">
        <f>L163/MEDIAN(L$4:L$213)</f>
        <v/>
      </c>
      <c r="P163" s="24">
        <f>IF(N163&gt;=요약!$C$5,"대량매수",IF(N163&lt;=-요약!$C$5,"대량매도",""))</f>
        <v/>
      </c>
      <c r="Q163" s="22">
        <f>(D163-AVERAGE(D$4:D$213))/STDEVP(D$4:D$213)</f>
        <v/>
      </c>
      <c r="R163" s="23">
        <f>M163/MEDIAN(M$4:M$213)</f>
        <v/>
      </c>
      <c r="S163" s="24">
        <f>IF(Q163&gt;=요약!$C$5,"대량매수",IF(Q163&lt;=-요약!$C$5,"대량매도",""))</f>
        <v/>
      </c>
    </row>
    <row r="164">
      <c r="A164" s="19" t="n">
        <v>46057</v>
      </c>
      <c r="B164" s="20" t="n">
        <v>-10119</v>
      </c>
      <c r="C164" s="20" t="n">
        <v>-9413</v>
      </c>
      <c r="D164" s="20" t="n">
        <v>17836</v>
      </c>
      <c r="E164" s="20" t="n">
        <v>14945</v>
      </c>
      <c r="F164" s="20" t="n">
        <v>-234</v>
      </c>
      <c r="G164" s="20" t="n">
        <v>2572</v>
      </c>
      <c r="H164" s="20" t="n">
        <v>177</v>
      </c>
      <c r="I164" s="20" t="n">
        <v>86</v>
      </c>
      <c r="J164" s="20" t="n">
        <v>290</v>
      </c>
      <c r="K164" s="20" t="n">
        <v>1695</v>
      </c>
      <c r="L164" s="21">
        <f>ABS(C164)</f>
        <v/>
      </c>
      <c r="M164" s="21">
        <f>ABS(D164)</f>
        <v/>
      </c>
      <c r="N164" s="22">
        <f>(C164-AVERAGE(C$4:C$213))/STDEVP(C$4:C$213)</f>
        <v/>
      </c>
      <c r="O164" s="23">
        <f>L164/MEDIAN(L$4:L$213)</f>
        <v/>
      </c>
      <c r="P164" s="24">
        <f>IF(N164&gt;=요약!$C$5,"대량매수",IF(N164&lt;=-요약!$C$5,"대량매도",""))</f>
        <v/>
      </c>
      <c r="Q164" s="22">
        <f>(D164-AVERAGE(D$4:D$213))/STDEVP(D$4:D$213)</f>
        <v/>
      </c>
      <c r="R164" s="23">
        <f>M164/MEDIAN(M$4:M$213)</f>
        <v/>
      </c>
      <c r="S164" s="24">
        <f>IF(Q164&gt;=요약!$C$5,"대량매수",IF(Q164&lt;=-요약!$C$5,"대량매도",""))</f>
        <v/>
      </c>
    </row>
    <row r="165">
      <c r="A165" s="19" t="n">
        <v>46056</v>
      </c>
      <c r="B165" s="20" t="n">
        <v>-29423</v>
      </c>
      <c r="C165" s="20" t="n">
        <v>7038</v>
      </c>
      <c r="D165" s="20" t="n">
        <v>21708</v>
      </c>
      <c r="E165" s="20" t="n">
        <v>14513</v>
      </c>
      <c r="F165" s="20" t="n">
        <v>-139</v>
      </c>
      <c r="G165" s="20" t="n">
        <v>5880</v>
      </c>
      <c r="H165" s="20" t="n">
        <v>21</v>
      </c>
      <c r="I165" s="20" t="n">
        <v>474</v>
      </c>
      <c r="J165" s="20" t="n">
        <v>958</v>
      </c>
      <c r="K165" s="20" t="n">
        <v>677</v>
      </c>
      <c r="L165" s="21">
        <f>ABS(C165)</f>
        <v/>
      </c>
      <c r="M165" s="21">
        <f>ABS(D165)</f>
        <v/>
      </c>
      <c r="N165" s="22">
        <f>(C165-AVERAGE(C$4:C$213))/STDEVP(C$4:C$213)</f>
        <v/>
      </c>
      <c r="O165" s="23">
        <f>L165/MEDIAN(L$4:L$213)</f>
        <v/>
      </c>
      <c r="P165" s="24">
        <f>IF(N165&gt;=요약!$C$5,"대량매수",IF(N165&lt;=-요약!$C$5,"대량매도",""))</f>
        <v/>
      </c>
      <c r="Q165" s="22">
        <f>(D165-AVERAGE(D$4:D$213))/STDEVP(D$4:D$213)</f>
        <v/>
      </c>
      <c r="R165" s="23">
        <f>M165/MEDIAN(M$4:M$213)</f>
        <v/>
      </c>
      <c r="S165" s="24">
        <f>IF(Q165&gt;=요약!$C$5,"대량매수",IF(Q165&lt;=-요약!$C$5,"대량매도",""))</f>
        <v/>
      </c>
    </row>
    <row r="166">
      <c r="A166" s="19" t="n">
        <v>46055</v>
      </c>
      <c r="B166" s="20" t="n">
        <v>45874</v>
      </c>
      <c r="C166" s="20" t="n">
        <v>-25168</v>
      </c>
      <c r="D166" s="20" t="n">
        <v>-22125</v>
      </c>
      <c r="E166" s="20" t="n">
        <v>-21755</v>
      </c>
      <c r="F166" s="20" t="n">
        <v>522</v>
      </c>
      <c r="G166" s="20" t="n">
        <v>-709</v>
      </c>
      <c r="H166" s="20" t="n">
        <v>-6</v>
      </c>
      <c r="I166" s="20" t="n">
        <v>222</v>
      </c>
      <c r="J166" s="20" t="n">
        <v>-399</v>
      </c>
      <c r="K166" s="20" t="n">
        <v>1419</v>
      </c>
      <c r="L166" s="21">
        <f>ABS(C166)</f>
        <v/>
      </c>
      <c r="M166" s="21">
        <f>ABS(D166)</f>
        <v/>
      </c>
      <c r="N166" s="22">
        <f>(C166-AVERAGE(C$4:C$213))/STDEVP(C$4:C$213)</f>
        <v/>
      </c>
      <c r="O166" s="23">
        <f>L166/MEDIAN(L$4:L$213)</f>
        <v/>
      </c>
      <c r="P166" s="24">
        <f>IF(N166&gt;=요약!$C$5,"대량매수",IF(N166&lt;=-요약!$C$5,"대량매도",""))</f>
        <v/>
      </c>
      <c r="Q166" s="22">
        <f>(D166-AVERAGE(D$4:D$213))/STDEVP(D$4:D$213)</f>
        <v/>
      </c>
      <c r="R166" s="23">
        <f>M166/MEDIAN(M$4:M$213)</f>
        <v/>
      </c>
      <c r="S166" s="24">
        <f>IF(Q166&gt;=요약!$C$5,"대량매수",IF(Q166&lt;=-요약!$C$5,"대량매도",""))</f>
        <v/>
      </c>
    </row>
    <row r="167">
      <c r="A167" s="19" t="n">
        <v>46052</v>
      </c>
      <c r="B167" s="20" t="n">
        <v>22979</v>
      </c>
      <c r="C167" s="20" t="n">
        <v>-19729</v>
      </c>
      <c r="D167" s="20" t="n">
        <v>-4241</v>
      </c>
      <c r="E167" s="20" t="n">
        <v>-309</v>
      </c>
      <c r="F167" s="20" t="n">
        <v>-1418</v>
      </c>
      <c r="G167" s="20" t="n">
        <v>-2185</v>
      </c>
      <c r="H167" s="20" t="n">
        <v>140</v>
      </c>
      <c r="I167" s="20" t="n">
        <v>-162</v>
      </c>
      <c r="J167" s="20" t="n">
        <v>-307</v>
      </c>
      <c r="K167" s="20" t="n">
        <v>991</v>
      </c>
      <c r="L167" s="21">
        <f>ABS(C167)</f>
        <v/>
      </c>
      <c r="M167" s="21">
        <f>ABS(D167)</f>
        <v/>
      </c>
      <c r="N167" s="22">
        <f>(C167-AVERAGE(C$4:C$213))/STDEVP(C$4:C$213)</f>
        <v/>
      </c>
      <c r="O167" s="23">
        <f>L167/MEDIAN(L$4:L$213)</f>
        <v/>
      </c>
      <c r="P167" s="24">
        <f>IF(N167&gt;=요약!$C$5,"대량매수",IF(N167&lt;=-요약!$C$5,"대량매도",""))</f>
        <v/>
      </c>
      <c r="Q167" s="22">
        <f>(D167-AVERAGE(D$4:D$213))/STDEVP(D$4:D$213)</f>
        <v/>
      </c>
      <c r="R167" s="23">
        <f>M167/MEDIAN(M$4:M$213)</f>
        <v/>
      </c>
      <c r="S167" s="24">
        <f>IF(Q167&gt;=요약!$C$5,"대량매수",IF(Q167&lt;=-요약!$C$5,"대량매도",""))</f>
        <v/>
      </c>
    </row>
    <row r="168">
      <c r="A168" s="19" t="n">
        <v>46051</v>
      </c>
      <c r="B168" s="20" t="n">
        <v>16173</v>
      </c>
      <c r="C168" s="20" t="n">
        <v>-14897</v>
      </c>
      <c r="D168" s="20" t="n">
        <v>-1673</v>
      </c>
      <c r="E168" s="20" t="n">
        <v>1569</v>
      </c>
      <c r="F168" s="20" t="n">
        <v>-714</v>
      </c>
      <c r="G168" s="20" t="n">
        <v>-1166</v>
      </c>
      <c r="H168" s="20" t="n">
        <v>13</v>
      </c>
      <c r="I168" s="20" t="n">
        <v>-178</v>
      </c>
      <c r="J168" s="20" t="n">
        <v>-1197</v>
      </c>
      <c r="K168" s="20" t="n">
        <v>397</v>
      </c>
      <c r="L168" s="21">
        <f>ABS(C168)</f>
        <v/>
      </c>
      <c r="M168" s="21">
        <f>ABS(D168)</f>
        <v/>
      </c>
      <c r="N168" s="22">
        <f>(C168-AVERAGE(C$4:C$213))/STDEVP(C$4:C$213)</f>
        <v/>
      </c>
      <c r="O168" s="23">
        <f>L168/MEDIAN(L$4:L$213)</f>
        <v/>
      </c>
      <c r="P168" s="24">
        <f>IF(N168&gt;=요약!$C$5,"대량매수",IF(N168&lt;=-요약!$C$5,"대량매도",""))</f>
        <v/>
      </c>
      <c r="Q168" s="22">
        <f>(D168-AVERAGE(D$4:D$213))/STDEVP(D$4:D$213)</f>
        <v/>
      </c>
      <c r="R168" s="23">
        <f>M168/MEDIAN(M$4:M$213)</f>
        <v/>
      </c>
      <c r="S168" s="24">
        <f>IF(Q168&gt;=요약!$C$5,"대량매수",IF(Q168&lt;=-요약!$C$5,"대량매도",""))</f>
        <v/>
      </c>
    </row>
    <row r="169">
      <c r="A169" s="19" t="n">
        <v>46050</v>
      </c>
      <c r="B169" s="20" t="n">
        <v>12131</v>
      </c>
      <c r="C169" s="20" t="n">
        <v>4008</v>
      </c>
      <c r="D169" s="20" t="n">
        <v>-14021</v>
      </c>
      <c r="E169" s="20" t="n">
        <v>-5710</v>
      </c>
      <c r="F169" s="20" t="n">
        <v>-1414</v>
      </c>
      <c r="G169" s="20" t="n">
        <v>-3815</v>
      </c>
      <c r="H169" s="20" t="n">
        <v>80</v>
      </c>
      <c r="I169" s="20" t="n">
        <v>-2261</v>
      </c>
      <c r="J169" s="20" t="n">
        <v>-900</v>
      </c>
      <c r="K169" s="20" t="n">
        <v>-2118</v>
      </c>
      <c r="L169" s="21">
        <f>ABS(C169)</f>
        <v/>
      </c>
      <c r="M169" s="21">
        <f>ABS(D169)</f>
        <v/>
      </c>
      <c r="N169" s="22">
        <f>(C169-AVERAGE(C$4:C$213))/STDEVP(C$4:C$213)</f>
        <v/>
      </c>
      <c r="O169" s="23">
        <f>L169/MEDIAN(L$4:L$213)</f>
        <v/>
      </c>
      <c r="P169" s="24">
        <f>IF(N169&gt;=요약!$C$5,"대량매수",IF(N169&lt;=-요약!$C$5,"대량매도",""))</f>
        <v/>
      </c>
      <c r="Q169" s="22">
        <f>(D169-AVERAGE(D$4:D$213))/STDEVP(D$4:D$213)</f>
        <v/>
      </c>
      <c r="R169" s="23">
        <f>M169/MEDIAN(M$4:M$213)</f>
        <v/>
      </c>
      <c r="S169" s="24">
        <f>IF(Q169&gt;=요약!$C$5,"대량매수",IF(Q169&lt;=-요약!$C$5,"대량매도",""))</f>
        <v/>
      </c>
    </row>
    <row r="170">
      <c r="A170" s="19" t="n">
        <v>46049</v>
      </c>
      <c r="B170" s="20" t="n">
        <v>-10197</v>
      </c>
      <c r="C170" s="20" t="n">
        <v>8448</v>
      </c>
      <c r="D170" s="20" t="n">
        <v>2474</v>
      </c>
      <c r="E170" s="20" t="n">
        <v>5695</v>
      </c>
      <c r="F170" s="20" t="n">
        <v>-706</v>
      </c>
      <c r="G170" s="20" t="n">
        <v>-2047</v>
      </c>
      <c r="H170" s="20" t="n">
        <v>87</v>
      </c>
      <c r="I170" s="20" t="n">
        <v>17</v>
      </c>
      <c r="J170" s="20" t="n">
        <v>-572</v>
      </c>
      <c r="K170" s="20" t="n">
        <v>-725</v>
      </c>
      <c r="L170" s="21">
        <f>ABS(C170)</f>
        <v/>
      </c>
      <c r="M170" s="21">
        <f>ABS(D170)</f>
        <v/>
      </c>
      <c r="N170" s="22">
        <f>(C170-AVERAGE(C$4:C$213))/STDEVP(C$4:C$213)</f>
        <v/>
      </c>
      <c r="O170" s="23">
        <f>L170/MEDIAN(L$4:L$213)</f>
        <v/>
      </c>
      <c r="P170" s="24">
        <f>IF(N170&gt;=요약!$C$5,"대량매수",IF(N170&lt;=-요약!$C$5,"대량매도",""))</f>
        <v/>
      </c>
      <c r="Q170" s="22">
        <f>(D170-AVERAGE(D$4:D$213))/STDEVP(D$4:D$213)</f>
        <v/>
      </c>
      <c r="R170" s="23">
        <f>M170/MEDIAN(M$4:M$213)</f>
        <v/>
      </c>
      <c r="S170" s="24">
        <f>IF(Q170&gt;=요약!$C$5,"대량매수",IF(Q170&lt;=-요약!$C$5,"대량매도",""))</f>
        <v/>
      </c>
    </row>
    <row r="171">
      <c r="A171" s="19" t="n">
        <v>46048</v>
      </c>
      <c r="B171" s="20" t="n">
        <v>17157</v>
      </c>
      <c r="C171" s="20" t="n">
        <v>-1588</v>
      </c>
      <c r="D171" s="20" t="n">
        <v>-15414</v>
      </c>
      <c r="E171" s="20" t="n">
        <v>-9528</v>
      </c>
      <c r="F171" s="20" t="n">
        <v>-340</v>
      </c>
      <c r="G171" s="20" t="n">
        <v>-3569</v>
      </c>
      <c r="H171" s="20" t="n">
        <v>-75</v>
      </c>
      <c r="I171" s="20" t="n">
        <v>-172</v>
      </c>
      <c r="J171" s="20" t="n">
        <v>-1730</v>
      </c>
      <c r="K171" s="20" t="n">
        <v>-154</v>
      </c>
      <c r="L171" s="21">
        <f>ABS(C171)</f>
        <v/>
      </c>
      <c r="M171" s="21">
        <f>ABS(D171)</f>
        <v/>
      </c>
      <c r="N171" s="22">
        <f>(C171-AVERAGE(C$4:C$213))/STDEVP(C$4:C$213)</f>
        <v/>
      </c>
      <c r="O171" s="23">
        <f>L171/MEDIAN(L$4:L$213)</f>
        <v/>
      </c>
      <c r="P171" s="24">
        <f>IF(N171&gt;=요약!$C$5,"대량매수",IF(N171&lt;=-요약!$C$5,"대량매도",""))</f>
        <v/>
      </c>
      <c r="Q171" s="22">
        <f>(D171-AVERAGE(D$4:D$213))/STDEVP(D$4:D$213)</f>
        <v/>
      </c>
      <c r="R171" s="23">
        <f>M171/MEDIAN(M$4:M$213)</f>
        <v/>
      </c>
      <c r="S171" s="24">
        <f>IF(Q171&gt;=요약!$C$5,"대량매수",IF(Q171&lt;=-요약!$C$5,"대량매도",""))</f>
        <v/>
      </c>
    </row>
    <row r="172">
      <c r="A172" s="19" t="n">
        <v>46045</v>
      </c>
      <c r="B172" s="20" t="n">
        <v>-7239</v>
      </c>
      <c r="C172" s="20" t="n">
        <v>1438</v>
      </c>
      <c r="D172" s="20" t="n">
        <v>4790</v>
      </c>
      <c r="E172" s="20" t="n">
        <v>9290</v>
      </c>
      <c r="F172" s="20" t="n">
        <v>-189</v>
      </c>
      <c r="G172" s="20" t="n">
        <v>-1492</v>
      </c>
      <c r="H172" s="20" t="n">
        <v>-69</v>
      </c>
      <c r="I172" s="20" t="n">
        <v>-30</v>
      </c>
      <c r="J172" s="20" t="n">
        <v>-2719</v>
      </c>
      <c r="K172" s="20" t="n">
        <v>1012</v>
      </c>
      <c r="L172" s="21">
        <f>ABS(C172)</f>
        <v/>
      </c>
      <c r="M172" s="21">
        <f>ABS(D172)</f>
        <v/>
      </c>
      <c r="N172" s="22">
        <f>(C172-AVERAGE(C$4:C$213))/STDEVP(C$4:C$213)</f>
        <v/>
      </c>
      <c r="O172" s="23">
        <f>L172/MEDIAN(L$4:L$213)</f>
        <v/>
      </c>
      <c r="P172" s="24">
        <f>IF(N172&gt;=요약!$C$5,"대량매수",IF(N172&lt;=-요약!$C$5,"대량매도",""))</f>
        <v/>
      </c>
      <c r="Q172" s="22">
        <f>(D172-AVERAGE(D$4:D$213))/STDEVP(D$4:D$213)</f>
        <v/>
      </c>
      <c r="R172" s="23">
        <f>M172/MEDIAN(M$4:M$213)</f>
        <v/>
      </c>
      <c r="S172" s="24">
        <f>IF(Q172&gt;=요약!$C$5,"대량매수",IF(Q172&lt;=-요약!$C$5,"대량매도",""))</f>
        <v/>
      </c>
    </row>
    <row r="173">
      <c r="A173" s="19" t="n">
        <v>46044</v>
      </c>
      <c r="B173" s="20" t="n">
        <v>1555</v>
      </c>
      <c r="C173" s="20" t="n">
        <v>-2432</v>
      </c>
      <c r="D173" s="20" t="n">
        <v>-1568</v>
      </c>
      <c r="E173" s="20" t="n">
        <v>3161</v>
      </c>
      <c r="F173" s="20" t="n">
        <v>-1922</v>
      </c>
      <c r="G173" s="20" t="n">
        <v>-790</v>
      </c>
      <c r="H173" s="20" t="n">
        <v>16</v>
      </c>
      <c r="I173" s="20" t="n">
        <v>16</v>
      </c>
      <c r="J173" s="20" t="n">
        <v>-2049</v>
      </c>
      <c r="K173" s="20" t="n">
        <v>2445</v>
      </c>
      <c r="L173" s="21">
        <f>ABS(C173)</f>
        <v/>
      </c>
      <c r="M173" s="21">
        <f>ABS(D173)</f>
        <v/>
      </c>
      <c r="N173" s="22">
        <f>(C173-AVERAGE(C$4:C$213))/STDEVP(C$4:C$213)</f>
        <v/>
      </c>
      <c r="O173" s="23">
        <f>L173/MEDIAN(L$4:L$213)</f>
        <v/>
      </c>
      <c r="P173" s="24">
        <f>IF(N173&gt;=요약!$C$5,"대량매수",IF(N173&lt;=-요약!$C$5,"대량매도",""))</f>
        <v/>
      </c>
      <c r="Q173" s="22">
        <f>(D173-AVERAGE(D$4:D$213))/STDEVP(D$4:D$213)</f>
        <v/>
      </c>
      <c r="R173" s="23">
        <f>M173/MEDIAN(M$4:M$213)</f>
        <v/>
      </c>
      <c r="S173" s="24">
        <f>IF(Q173&gt;=요약!$C$5,"대량매수",IF(Q173&lt;=-요약!$C$5,"대량매도",""))</f>
        <v/>
      </c>
    </row>
    <row r="174">
      <c r="A174" s="19" t="n">
        <v>46043</v>
      </c>
      <c r="B174" s="20" t="n">
        <v>-9965</v>
      </c>
      <c r="C174" s="20" t="n">
        <v>4394</v>
      </c>
      <c r="D174" s="20" t="n">
        <v>3217</v>
      </c>
      <c r="E174" s="20" t="n">
        <v>2946</v>
      </c>
      <c r="F174" s="20" t="n">
        <v>-230</v>
      </c>
      <c r="G174" s="20" t="n">
        <v>1068</v>
      </c>
      <c r="H174" s="20" t="n">
        <v>-59</v>
      </c>
      <c r="I174" s="20" t="n">
        <v>55</v>
      </c>
      <c r="J174" s="20" t="n">
        <v>-564</v>
      </c>
      <c r="K174" s="20" t="n">
        <v>2355</v>
      </c>
      <c r="L174" s="21">
        <f>ABS(C174)</f>
        <v/>
      </c>
      <c r="M174" s="21">
        <f>ABS(D174)</f>
        <v/>
      </c>
      <c r="N174" s="22">
        <f>(C174-AVERAGE(C$4:C$213))/STDEVP(C$4:C$213)</f>
        <v/>
      </c>
      <c r="O174" s="23">
        <f>L174/MEDIAN(L$4:L$213)</f>
        <v/>
      </c>
      <c r="P174" s="24">
        <f>IF(N174&gt;=요약!$C$5,"대량매수",IF(N174&lt;=-요약!$C$5,"대량매도",""))</f>
        <v/>
      </c>
      <c r="Q174" s="22">
        <f>(D174-AVERAGE(D$4:D$213))/STDEVP(D$4:D$213)</f>
        <v/>
      </c>
      <c r="R174" s="23">
        <f>M174/MEDIAN(M$4:M$213)</f>
        <v/>
      </c>
      <c r="S174" s="24">
        <f>IF(Q174&gt;=요약!$C$5,"대량매수",IF(Q174&lt;=-요약!$C$5,"대량매도",""))</f>
        <v/>
      </c>
    </row>
    <row r="175">
      <c r="A175" s="19" t="n">
        <v>46042</v>
      </c>
      <c r="B175" s="20" t="n">
        <v>3524</v>
      </c>
      <c r="C175" s="20" t="n">
        <v>1232</v>
      </c>
      <c r="D175" s="20" t="n">
        <v>-6500</v>
      </c>
      <c r="E175" s="20" t="n">
        <v>-2089</v>
      </c>
      <c r="F175" s="20" t="n">
        <v>-367</v>
      </c>
      <c r="G175" s="20" t="n">
        <v>-2235</v>
      </c>
      <c r="H175" s="20" t="n">
        <v>34</v>
      </c>
      <c r="I175" s="20" t="n">
        <v>-114</v>
      </c>
      <c r="J175" s="20" t="n">
        <v>-1729</v>
      </c>
      <c r="K175" s="20" t="n">
        <v>1744</v>
      </c>
      <c r="L175" s="21">
        <f>ABS(C175)</f>
        <v/>
      </c>
      <c r="M175" s="21">
        <f>ABS(D175)</f>
        <v/>
      </c>
      <c r="N175" s="22">
        <f>(C175-AVERAGE(C$4:C$213))/STDEVP(C$4:C$213)</f>
        <v/>
      </c>
      <c r="O175" s="23">
        <f>L175/MEDIAN(L$4:L$213)</f>
        <v/>
      </c>
      <c r="P175" s="24">
        <f>IF(N175&gt;=요약!$C$5,"대량매수",IF(N175&lt;=-요약!$C$5,"대량매도",""))</f>
        <v/>
      </c>
      <c r="Q175" s="22">
        <f>(D175-AVERAGE(D$4:D$213))/STDEVP(D$4:D$213)</f>
        <v/>
      </c>
      <c r="R175" s="23">
        <f>M175/MEDIAN(M$4:M$213)</f>
        <v/>
      </c>
      <c r="S175" s="24">
        <f>IF(Q175&gt;=요약!$C$5,"대량매수",IF(Q175&lt;=-요약!$C$5,"대량매도",""))</f>
        <v/>
      </c>
    </row>
    <row r="176">
      <c r="A176" s="19" t="n">
        <v>46041</v>
      </c>
      <c r="B176" s="20" t="n">
        <v>-7513</v>
      </c>
      <c r="C176" s="20" t="n">
        <v>5532</v>
      </c>
      <c r="D176" s="20" t="n">
        <v>-256</v>
      </c>
      <c r="E176" s="20" t="n">
        <v>2054</v>
      </c>
      <c r="F176" s="20" t="n">
        <v>-491</v>
      </c>
      <c r="G176" s="20" t="n">
        <v>-669</v>
      </c>
      <c r="H176" s="20" t="n">
        <v>32</v>
      </c>
      <c r="I176" s="20" t="n">
        <v>5</v>
      </c>
      <c r="J176" s="20" t="n">
        <v>-1188</v>
      </c>
      <c r="K176" s="20" t="n">
        <v>2237</v>
      </c>
      <c r="L176" s="21">
        <f>ABS(C176)</f>
        <v/>
      </c>
      <c r="M176" s="21">
        <f>ABS(D176)</f>
        <v/>
      </c>
      <c r="N176" s="22">
        <f>(C176-AVERAGE(C$4:C$213))/STDEVP(C$4:C$213)</f>
        <v/>
      </c>
      <c r="O176" s="23">
        <f>L176/MEDIAN(L$4:L$213)</f>
        <v/>
      </c>
      <c r="P176" s="24">
        <f>IF(N176&gt;=요약!$C$5,"대량매수",IF(N176&lt;=-요약!$C$5,"대량매도",""))</f>
        <v/>
      </c>
      <c r="Q176" s="22">
        <f>(D176-AVERAGE(D$4:D$213))/STDEVP(D$4:D$213)</f>
        <v/>
      </c>
      <c r="R176" s="23">
        <f>M176/MEDIAN(M$4:M$213)</f>
        <v/>
      </c>
      <c r="S176" s="24">
        <f>IF(Q176&gt;=요약!$C$5,"대량매수",IF(Q176&lt;=-요약!$C$5,"대량매도",""))</f>
        <v/>
      </c>
    </row>
    <row r="177">
      <c r="A177" s="19" t="n">
        <v>46038</v>
      </c>
      <c r="B177" s="20" t="n">
        <v>-9383</v>
      </c>
      <c r="C177" s="20" t="n">
        <v>4350</v>
      </c>
      <c r="D177" s="20" t="n">
        <v>3083</v>
      </c>
      <c r="E177" s="20" t="n">
        <v>5114</v>
      </c>
      <c r="F177" s="20" t="n">
        <v>-789</v>
      </c>
      <c r="G177" s="20" t="n">
        <v>-282</v>
      </c>
      <c r="H177" s="20" t="n">
        <v>-10</v>
      </c>
      <c r="I177" s="20" t="n">
        <v>-49</v>
      </c>
      <c r="J177" s="20" t="n">
        <v>-901</v>
      </c>
      <c r="K177" s="20" t="n">
        <v>1949</v>
      </c>
      <c r="L177" s="21">
        <f>ABS(C177)</f>
        <v/>
      </c>
      <c r="M177" s="21">
        <f>ABS(D177)</f>
        <v/>
      </c>
      <c r="N177" s="22">
        <f>(C177-AVERAGE(C$4:C$213))/STDEVP(C$4:C$213)</f>
        <v/>
      </c>
      <c r="O177" s="23">
        <f>L177/MEDIAN(L$4:L$213)</f>
        <v/>
      </c>
      <c r="P177" s="24">
        <f>IF(N177&gt;=요약!$C$5,"대량매수",IF(N177&lt;=-요약!$C$5,"대량매도",""))</f>
        <v/>
      </c>
      <c r="Q177" s="22">
        <f>(D177-AVERAGE(D$4:D$213))/STDEVP(D$4:D$213)</f>
        <v/>
      </c>
      <c r="R177" s="23">
        <f>M177/MEDIAN(M$4:M$213)</f>
        <v/>
      </c>
      <c r="S177" s="24">
        <f>IF(Q177&gt;=요약!$C$5,"대량매수",IF(Q177&lt;=-요약!$C$5,"대량매도",""))</f>
        <v/>
      </c>
    </row>
    <row r="178">
      <c r="A178" s="19" t="n">
        <v>46037</v>
      </c>
      <c r="B178" s="20" t="n">
        <v>-18235</v>
      </c>
      <c r="C178" s="20" t="n">
        <v>3450</v>
      </c>
      <c r="D178" s="20" t="n">
        <v>12905</v>
      </c>
      <c r="E178" s="20" t="n">
        <v>14577</v>
      </c>
      <c r="F178" s="20" t="n">
        <v>-281</v>
      </c>
      <c r="G178" s="20" t="n">
        <v>-965</v>
      </c>
      <c r="H178" s="20" t="n">
        <v>-59</v>
      </c>
      <c r="I178" s="20" t="n">
        <v>-55</v>
      </c>
      <c r="J178" s="20" t="n">
        <v>-312</v>
      </c>
      <c r="K178" s="20" t="n">
        <v>1880</v>
      </c>
      <c r="L178" s="21">
        <f>ABS(C178)</f>
        <v/>
      </c>
      <c r="M178" s="21">
        <f>ABS(D178)</f>
        <v/>
      </c>
      <c r="N178" s="22">
        <f>(C178-AVERAGE(C$4:C$213))/STDEVP(C$4:C$213)</f>
        <v/>
      </c>
      <c r="O178" s="23">
        <f>L178/MEDIAN(L$4:L$213)</f>
        <v/>
      </c>
      <c r="P178" s="24">
        <f>IF(N178&gt;=요약!$C$5,"대량매수",IF(N178&lt;=-요약!$C$5,"대량매도",""))</f>
        <v/>
      </c>
      <c r="Q178" s="22">
        <f>(D178-AVERAGE(D$4:D$213))/STDEVP(D$4:D$213)</f>
        <v/>
      </c>
      <c r="R178" s="23">
        <f>M178/MEDIAN(M$4:M$213)</f>
        <v/>
      </c>
      <c r="S178" s="24">
        <f>IF(Q178&gt;=요약!$C$5,"대량매수",IF(Q178&lt;=-요약!$C$5,"대량매도",""))</f>
        <v/>
      </c>
    </row>
    <row r="179">
      <c r="A179" s="19" t="n">
        <v>46036</v>
      </c>
      <c r="B179" s="20" t="n">
        <v>-4377</v>
      </c>
      <c r="C179" s="20" t="n">
        <v>-3760</v>
      </c>
      <c r="D179" s="20" t="n">
        <v>5887</v>
      </c>
      <c r="E179" s="20" t="n">
        <v>6045</v>
      </c>
      <c r="F179" s="20" t="n">
        <v>-396</v>
      </c>
      <c r="G179" s="20" t="n">
        <v>25</v>
      </c>
      <c r="H179" s="20" t="n">
        <v>-2</v>
      </c>
      <c r="I179" s="20" t="n">
        <v>66</v>
      </c>
      <c r="J179" s="20" t="n">
        <v>149</v>
      </c>
      <c r="K179" s="20" t="n">
        <v>2250</v>
      </c>
      <c r="L179" s="21">
        <f>ABS(C179)</f>
        <v/>
      </c>
      <c r="M179" s="21">
        <f>ABS(D179)</f>
        <v/>
      </c>
      <c r="N179" s="22">
        <f>(C179-AVERAGE(C$4:C$213))/STDEVP(C$4:C$213)</f>
        <v/>
      </c>
      <c r="O179" s="23">
        <f>L179/MEDIAN(L$4:L$213)</f>
        <v/>
      </c>
      <c r="P179" s="24">
        <f>IF(N179&gt;=요약!$C$5,"대량매수",IF(N179&lt;=-요약!$C$5,"대량매도",""))</f>
        <v/>
      </c>
      <c r="Q179" s="22">
        <f>(D179-AVERAGE(D$4:D$213))/STDEVP(D$4:D$213)</f>
        <v/>
      </c>
      <c r="R179" s="23">
        <f>M179/MEDIAN(M$4:M$213)</f>
        <v/>
      </c>
      <c r="S179" s="24">
        <f>IF(Q179&gt;=요약!$C$5,"대량매수",IF(Q179&lt;=-요약!$C$5,"대량매도",""))</f>
        <v/>
      </c>
    </row>
    <row r="180">
      <c r="A180" s="19" t="n">
        <v>46035</v>
      </c>
      <c r="B180" s="20" t="n">
        <v>-7125</v>
      </c>
      <c r="C180" s="20" t="n">
        <v>-2793</v>
      </c>
      <c r="D180" s="20" t="n">
        <v>7881</v>
      </c>
      <c r="E180" s="20" t="n">
        <v>7769</v>
      </c>
      <c r="F180" s="20" t="n">
        <v>-821</v>
      </c>
      <c r="G180" s="20" t="n">
        <v>796</v>
      </c>
      <c r="H180" s="20" t="n">
        <v>104</v>
      </c>
      <c r="I180" s="20" t="n">
        <v>12</v>
      </c>
      <c r="J180" s="20" t="n">
        <v>22</v>
      </c>
      <c r="K180" s="20" t="n">
        <v>2037</v>
      </c>
      <c r="L180" s="21">
        <f>ABS(C180)</f>
        <v/>
      </c>
      <c r="M180" s="21">
        <f>ABS(D180)</f>
        <v/>
      </c>
      <c r="N180" s="22">
        <f>(C180-AVERAGE(C$4:C$213))/STDEVP(C$4:C$213)</f>
        <v/>
      </c>
      <c r="O180" s="23">
        <f>L180/MEDIAN(L$4:L$213)</f>
        <v/>
      </c>
      <c r="P180" s="24">
        <f>IF(N180&gt;=요약!$C$5,"대량매수",IF(N180&lt;=-요약!$C$5,"대량매도",""))</f>
        <v/>
      </c>
      <c r="Q180" s="22">
        <f>(D180-AVERAGE(D$4:D$213))/STDEVP(D$4:D$213)</f>
        <v/>
      </c>
      <c r="R180" s="23">
        <f>M180/MEDIAN(M$4:M$213)</f>
        <v/>
      </c>
      <c r="S180" s="24">
        <f>IF(Q180&gt;=요약!$C$5,"대량매수",IF(Q180&lt;=-요약!$C$5,"대량매도",""))</f>
        <v/>
      </c>
    </row>
    <row r="181">
      <c r="A181" s="19" t="n">
        <v>46034</v>
      </c>
      <c r="B181" s="20" t="n">
        <v>-1013</v>
      </c>
      <c r="C181" s="20" t="n">
        <v>-3512</v>
      </c>
      <c r="D181" s="20" t="n">
        <v>2101</v>
      </c>
      <c r="E181" s="20" t="n">
        <v>5682</v>
      </c>
      <c r="F181" s="20" t="n">
        <v>-1337</v>
      </c>
      <c r="G181" s="20" t="n">
        <v>-1706</v>
      </c>
      <c r="H181" s="20" t="n">
        <v>45</v>
      </c>
      <c r="I181" s="20" t="n">
        <v>-82</v>
      </c>
      <c r="J181" s="20" t="n">
        <v>-501</v>
      </c>
      <c r="K181" s="20" t="n">
        <v>2425</v>
      </c>
      <c r="L181" s="21">
        <f>ABS(C181)</f>
        <v/>
      </c>
      <c r="M181" s="21">
        <f>ABS(D181)</f>
        <v/>
      </c>
      <c r="N181" s="22">
        <f>(C181-AVERAGE(C$4:C$213))/STDEVP(C$4:C$213)</f>
        <v/>
      </c>
      <c r="O181" s="23">
        <f>L181/MEDIAN(L$4:L$213)</f>
        <v/>
      </c>
      <c r="P181" s="24">
        <f>IF(N181&gt;=요약!$C$5,"대량매수",IF(N181&lt;=-요약!$C$5,"대량매도",""))</f>
        <v/>
      </c>
      <c r="Q181" s="22">
        <f>(D181-AVERAGE(D$4:D$213))/STDEVP(D$4:D$213)</f>
        <v/>
      </c>
      <c r="R181" s="23">
        <f>M181/MEDIAN(M$4:M$213)</f>
        <v/>
      </c>
      <c r="S181" s="24">
        <f>IF(Q181&gt;=요약!$C$5,"대량매수",IF(Q181&lt;=-요약!$C$5,"대량매도",""))</f>
        <v/>
      </c>
    </row>
    <row r="182">
      <c r="A182" s="19" t="n">
        <v>46031</v>
      </c>
      <c r="B182" s="20" t="n">
        <v>1339</v>
      </c>
      <c r="C182" s="20" t="n">
        <v>-16068</v>
      </c>
      <c r="D182" s="20" t="n">
        <v>12046</v>
      </c>
      <c r="E182" s="20" t="n">
        <v>11654</v>
      </c>
      <c r="F182" s="20" t="n">
        <v>-505</v>
      </c>
      <c r="G182" s="20" t="n">
        <v>239</v>
      </c>
      <c r="H182" s="20" t="n">
        <v>127</v>
      </c>
      <c r="I182" s="20" t="n">
        <v>3</v>
      </c>
      <c r="J182" s="20" t="n">
        <v>527</v>
      </c>
      <c r="K182" s="20" t="n">
        <v>2683</v>
      </c>
      <c r="L182" s="21">
        <f>ABS(C182)</f>
        <v/>
      </c>
      <c r="M182" s="21">
        <f>ABS(D182)</f>
        <v/>
      </c>
      <c r="N182" s="22">
        <f>(C182-AVERAGE(C$4:C$213))/STDEVP(C$4:C$213)</f>
        <v/>
      </c>
      <c r="O182" s="23">
        <f>L182/MEDIAN(L$4:L$213)</f>
        <v/>
      </c>
      <c r="P182" s="24">
        <f>IF(N182&gt;=요약!$C$5,"대량매수",IF(N182&lt;=-요약!$C$5,"대량매도",""))</f>
        <v/>
      </c>
      <c r="Q182" s="22">
        <f>(D182-AVERAGE(D$4:D$213))/STDEVP(D$4:D$213)</f>
        <v/>
      </c>
      <c r="R182" s="23">
        <f>M182/MEDIAN(M$4:M$213)</f>
        <v/>
      </c>
      <c r="S182" s="24">
        <f>IF(Q182&gt;=요약!$C$5,"대량매수",IF(Q182&lt;=-요약!$C$5,"대량매도",""))</f>
        <v/>
      </c>
    </row>
    <row r="183">
      <c r="A183" s="19" t="n">
        <v>46030</v>
      </c>
      <c r="B183" s="20" t="n">
        <v>12540</v>
      </c>
      <c r="C183" s="20" t="n">
        <v>-979</v>
      </c>
      <c r="D183" s="20" t="n">
        <v>-14014</v>
      </c>
      <c r="E183" s="20" t="n">
        <v>-8547</v>
      </c>
      <c r="F183" s="20" t="n">
        <v>-463</v>
      </c>
      <c r="G183" s="20" t="n">
        <v>-3525</v>
      </c>
      <c r="H183" s="20" t="n">
        <v>12</v>
      </c>
      <c r="I183" s="20" t="n">
        <v>19</v>
      </c>
      <c r="J183" s="20" t="n">
        <v>-1510</v>
      </c>
      <c r="K183" s="20" t="n">
        <v>2453</v>
      </c>
      <c r="L183" s="21">
        <f>ABS(C183)</f>
        <v/>
      </c>
      <c r="M183" s="21">
        <f>ABS(D183)</f>
        <v/>
      </c>
      <c r="N183" s="22">
        <f>(C183-AVERAGE(C$4:C$213))/STDEVP(C$4:C$213)</f>
        <v/>
      </c>
      <c r="O183" s="23">
        <f>L183/MEDIAN(L$4:L$213)</f>
        <v/>
      </c>
      <c r="P183" s="24">
        <f>IF(N183&gt;=요약!$C$5,"대량매수",IF(N183&lt;=-요약!$C$5,"대량매도",""))</f>
        <v/>
      </c>
      <c r="Q183" s="22">
        <f>(D183-AVERAGE(D$4:D$213))/STDEVP(D$4:D$213)</f>
        <v/>
      </c>
      <c r="R183" s="23">
        <f>M183/MEDIAN(M$4:M$213)</f>
        <v/>
      </c>
      <c r="S183" s="24">
        <f>IF(Q183&gt;=요약!$C$5,"대량매수",IF(Q183&lt;=-요약!$C$5,"대량매도",""))</f>
        <v/>
      </c>
    </row>
    <row r="184">
      <c r="A184" s="19" t="n">
        <v>46029</v>
      </c>
      <c r="B184" s="20" t="n">
        <v>-2944</v>
      </c>
      <c r="C184" s="20" t="n">
        <v>12548</v>
      </c>
      <c r="D184" s="20" t="n">
        <v>-9397</v>
      </c>
      <c r="E184" s="20" t="n">
        <v>-3594</v>
      </c>
      <c r="F184" s="20" t="n">
        <v>-1453</v>
      </c>
      <c r="G184" s="20" t="n">
        <v>-3499</v>
      </c>
      <c r="H184" s="20" t="n">
        <v>64</v>
      </c>
      <c r="I184" s="20" t="n">
        <v>32</v>
      </c>
      <c r="J184" s="20" t="n">
        <v>-947</v>
      </c>
      <c r="K184" s="20" t="n">
        <v>-207</v>
      </c>
      <c r="L184" s="21">
        <f>ABS(C184)</f>
        <v/>
      </c>
      <c r="M184" s="21">
        <f>ABS(D184)</f>
        <v/>
      </c>
      <c r="N184" s="22">
        <f>(C184-AVERAGE(C$4:C$213))/STDEVP(C$4:C$213)</f>
        <v/>
      </c>
      <c r="O184" s="23">
        <f>L184/MEDIAN(L$4:L$213)</f>
        <v/>
      </c>
      <c r="P184" s="24">
        <f>IF(N184&gt;=요약!$C$5,"대량매수",IF(N184&lt;=-요약!$C$5,"대량매도",""))</f>
        <v/>
      </c>
      <c r="Q184" s="22">
        <f>(D184-AVERAGE(D$4:D$213))/STDEVP(D$4:D$213)</f>
        <v/>
      </c>
      <c r="R184" s="23">
        <f>M184/MEDIAN(M$4:M$213)</f>
        <v/>
      </c>
      <c r="S184" s="24">
        <f>IF(Q184&gt;=요약!$C$5,"대량매수",IF(Q184&lt;=-요약!$C$5,"대량매도",""))</f>
        <v/>
      </c>
    </row>
    <row r="185">
      <c r="A185" s="19" t="n">
        <v>46028</v>
      </c>
      <c r="B185" s="20" t="n">
        <v>5963</v>
      </c>
      <c r="C185" s="20" t="n">
        <v>-6184</v>
      </c>
      <c r="D185" s="20" t="n">
        <v>-664</v>
      </c>
      <c r="E185" s="20" t="n">
        <v>1697</v>
      </c>
      <c r="F185" s="20" t="n">
        <v>-243</v>
      </c>
      <c r="G185" s="20" t="n">
        <v>-1406</v>
      </c>
      <c r="H185" s="20" t="n">
        <v>66</v>
      </c>
      <c r="I185" s="20" t="n">
        <v>-54</v>
      </c>
      <c r="J185" s="20" t="n">
        <v>-724</v>
      </c>
      <c r="K185" s="20" t="n">
        <v>886</v>
      </c>
      <c r="L185" s="21">
        <f>ABS(C185)</f>
        <v/>
      </c>
      <c r="M185" s="21">
        <f>ABS(D185)</f>
        <v/>
      </c>
      <c r="N185" s="22">
        <f>(C185-AVERAGE(C$4:C$213))/STDEVP(C$4:C$213)</f>
        <v/>
      </c>
      <c r="O185" s="23">
        <f>L185/MEDIAN(L$4:L$213)</f>
        <v/>
      </c>
      <c r="P185" s="24">
        <f>IF(N185&gt;=요약!$C$5,"대량매수",IF(N185&lt;=-요약!$C$5,"대량매도",""))</f>
        <v/>
      </c>
      <c r="Q185" s="22">
        <f>(D185-AVERAGE(D$4:D$213))/STDEVP(D$4:D$213)</f>
        <v/>
      </c>
      <c r="R185" s="23">
        <f>M185/MEDIAN(M$4:M$213)</f>
        <v/>
      </c>
      <c r="S185" s="24">
        <f>IF(Q185&gt;=요약!$C$5,"대량매수",IF(Q185&lt;=-요약!$C$5,"대량매도",""))</f>
        <v/>
      </c>
    </row>
    <row r="186">
      <c r="A186" s="19" t="n">
        <v>46027</v>
      </c>
      <c r="B186" s="20" t="n">
        <v>-15141</v>
      </c>
      <c r="C186" s="20" t="n">
        <v>21726</v>
      </c>
      <c r="D186" s="20" t="n">
        <v>-7046</v>
      </c>
      <c r="E186" s="20" t="n">
        <v>-508</v>
      </c>
      <c r="F186" s="20" t="n">
        <v>-1525</v>
      </c>
      <c r="G186" s="20" t="n">
        <v>-3486</v>
      </c>
      <c r="H186" s="20" t="n">
        <v>85</v>
      </c>
      <c r="I186" s="20" t="n">
        <v>-47</v>
      </c>
      <c r="J186" s="20" t="n">
        <v>-1564</v>
      </c>
      <c r="K186" s="20" t="n">
        <v>461</v>
      </c>
      <c r="L186" s="21">
        <f>ABS(C186)</f>
        <v/>
      </c>
      <c r="M186" s="21">
        <f>ABS(D186)</f>
        <v/>
      </c>
      <c r="N186" s="22">
        <f>(C186-AVERAGE(C$4:C$213))/STDEVP(C$4:C$213)</f>
        <v/>
      </c>
      <c r="O186" s="23">
        <f>L186/MEDIAN(L$4:L$213)</f>
        <v/>
      </c>
      <c r="P186" s="24">
        <f>IF(N186&gt;=요약!$C$5,"대량매수",IF(N186&lt;=-요약!$C$5,"대량매도",""))</f>
        <v/>
      </c>
      <c r="Q186" s="22">
        <f>(D186-AVERAGE(D$4:D$213))/STDEVP(D$4:D$213)</f>
        <v/>
      </c>
      <c r="R186" s="23">
        <f>M186/MEDIAN(M$4:M$213)</f>
        <v/>
      </c>
      <c r="S186" s="24">
        <f>IF(Q186&gt;=요약!$C$5,"대량매수",IF(Q186&lt;=-요약!$C$5,"대량매도",""))</f>
        <v/>
      </c>
    </row>
    <row r="187">
      <c r="A187" s="19" t="n">
        <v>46024</v>
      </c>
      <c r="B187" s="20" t="n">
        <v>-4252</v>
      </c>
      <c r="C187" s="20" t="n">
        <v>6309</v>
      </c>
      <c r="D187" s="20" t="n">
        <v>-2477</v>
      </c>
      <c r="E187" s="20" t="n">
        <v>-1138</v>
      </c>
      <c r="F187" s="20" t="n">
        <v>-615</v>
      </c>
      <c r="G187" s="20" t="n">
        <v>-517</v>
      </c>
      <c r="H187" s="20" t="n">
        <v>73</v>
      </c>
      <c r="I187" s="20" t="n">
        <v>-84</v>
      </c>
      <c r="J187" s="20" t="n">
        <v>-196</v>
      </c>
      <c r="K187" s="20" t="n">
        <v>419</v>
      </c>
      <c r="L187" s="21">
        <f>ABS(C187)</f>
        <v/>
      </c>
      <c r="M187" s="21">
        <f>ABS(D187)</f>
        <v/>
      </c>
      <c r="N187" s="22">
        <f>(C187-AVERAGE(C$4:C$213))/STDEVP(C$4:C$213)</f>
        <v/>
      </c>
      <c r="O187" s="23">
        <f>L187/MEDIAN(L$4:L$213)</f>
        <v/>
      </c>
      <c r="P187" s="24">
        <f>IF(N187&gt;=요약!$C$5,"대량매수",IF(N187&lt;=-요약!$C$5,"대량매도",""))</f>
        <v/>
      </c>
      <c r="Q187" s="22">
        <f>(D187-AVERAGE(D$4:D$213))/STDEVP(D$4:D$213)</f>
        <v/>
      </c>
      <c r="R187" s="23">
        <f>M187/MEDIAN(M$4:M$213)</f>
        <v/>
      </c>
      <c r="S187" s="24">
        <f>IF(Q187&gt;=요약!$C$5,"대량매수",IF(Q187&lt;=-요약!$C$5,"대량매도",""))</f>
        <v/>
      </c>
    </row>
    <row r="188">
      <c r="A188" s="19" t="n">
        <v>46021</v>
      </c>
      <c r="B188" s="20" t="n">
        <v>8448</v>
      </c>
      <c r="C188" s="20" t="n">
        <v>-4768</v>
      </c>
      <c r="D188" s="20" t="n">
        <v>-3763</v>
      </c>
      <c r="E188" s="20" t="n">
        <v>-2290</v>
      </c>
      <c r="F188" s="20" t="n">
        <v>-76</v>
      </c>
      <c r="G188" s="20" t="n">
        <v>-330</v>
      </c>
      <c r="H188" s="20" t="n">
        <v>23</v>
      </c>
      <c r="I188" s="20" t="n">
        <v>-7</v>
      </c>
      <c r="J188" s="20" t="n">
        <v>-1084</v>
      </c>
      <c r="K188" s="20" t="n">
        <v>83</v>
      </c>
      <c r="L188" s="21">
        <f>ABS(C188)</f>
        <v/>
      </c>
      <c r="M188" s="21">
        <f>ABS(D188)</f>
        <v/>
      </c>
      <c r="N188" s="22">
        <f>(C188-AVERAGE(C$4:C$213))/STDEVP(C$4:C$213)</f>
        <v/>
      </c>
      <c r="O188" s="23">
        <f>L188/MEDIAN(L$4:L$213)</f>
        <v/>
      </c>
      <c r="P188" s="24">
        <f>IF(N188&gt;=요약!$C$5,"대량매수",IF(N188&lt;=-요약!$C$5,"대량매도",""))</f>
        <v/>
      </c>
      <c r="Q188" s="22">
        <f>(D188-AVERAGE(D$4:D$213))/STDEVP(D$4:D$213)</f>
        <v/>
      </c>
      <c r="R188" s="23">
        <f>M188/MEDIAN(M$4:M$213)</f>
        <v/>
      </c>
      <c r="S188" s="24">
        <f>IF(Q188&gt;=요약!$C$5,"대량매수",IF(Q188&lt;=-요약!$C$5,"대량매도",""))</f>
        <v/>
      </c>
    </row>
    <row r="189">
      <c r="A189" s="19" t="n">
        <v>46020</v>
      </c>
      <c r="B189" s="20" t="n">
        <v>661</v>
      </c>
      <c r="C189" s="20" t="n">
        <v>3337</v>
      </c>
      <c r="D189" s="20" t="n">
        <v>-3133</v>
      </c>
      <c r="E189" s="20" t="n">
        <v>-3636</v>
      </c>
      <c r="F189" s="20" t="n">
        <v>-557</v>
      </c>
      <c r="G189" s="20" t="n">
        <v>704</v>
      </c>
      <c r="H189" s="20" t="n">
        <v>-7</v>
      </c>
      <c r="I189" s="20" t="n">
        <v>-16</v>
      </c>
      <c r="J189" s="20" t="n">
        <v>379</v>
      </c>
      <c r="K189" s="20" t="n">
        <v>-865</v>
      </c>
      <c r="L189" s="21">
        <f>ABS(C189)</f>
        <v/>
      </c>
      <c r="M189" s="21">
        <f>ABS(D189)</f>
        <v/>
      </c>
      <c r="N189" s="22">
        <f>(C189-AVERAGE(C$4:C$213))/STDEVP(C$4:C$213)</f>
        <v/>
      </c>
      <c r="O189" s="23">
        <f>L189/MEDIAN(L$4:L$213)</f>
        <v/>
      </c>
      <c r="P189" s="24">
        <f>IF(N189&gt;=요약!$C$5,"대량매수",IF(N189&lt;=-요약!$C$5,"대량매도",""))</f>
        <v/>
      </c>
      <c r="Q189" s="22">
        <f>(D189-AVERAGE(D$4:D$213))/STDEVP(D$4:D$213)</f>
        <v/>
      </c>
      <c r="R189" s="23">
        <f>M189/MEDIAN(M$4:M$213)</f>
        <v/>
      </c>
      <c r="S189" s="24">
        <f>IF(Q189&gt;=요약!$C$5,"대량매수",IF(Q189&lt;=-요약!$C$5,"대량매도",""))</f>
        <v/>
      </c>
    </row>
    <row r="190">
      <c r="A190" s="19" t="n">
        <v>46017</v>
      </c>
      <c r="B190" s="20" t="n">
        <v>-23265</v>
      </c>
      <c r="C190" s="20" t="n">
        <v>17790</v>
      </c>
      <c r="D190" s="20" t="n">
        <v>4435</v>
      </c>
      <c r="E190" s="20" t="n">
        <v>5293</v>
      </c>
      <c r="F190" s="20" t="n">
        <v>-243</v>
      </c>
      <c r="G190" s="20" t="n">
        <v>535</v>
      </c>
      <c r="H190" s="20" t="n">
        <v>-14</v>
      </c>
      <c r="I190" s="20" t="n">
        <v>-161</v>
      </c>
      <c r="J190" s="20" t="n">
        <v>-975</v>
      </c>
      <c r="K190" s="20" t="n">
        <v>1039</v>
      </c>
      <c r="L190" s="21">
        <f>ABS(C190)</f>
        <v/>
      </c>
      <c r="M190" s="21">
        <f>ABS(D190)</f>
        <v/>
      </c>
      <c r="N190" s="22">
        <f>(C190-AVERAGE(C$4:C$213))/STDEVP(C$4:C$213)</f>
        <v/>
      </c>
      <c r="O190" s="23">
        <f>L190/MEDIAN(L$4:L$213)</f>
        <v/>
      </c>
      <c r="P190" s="24">
        <f>IF(N190&gt;=요약!$C$5,"대량매수",IF(N190&lt;=-요약!$C$5,"대량매도",""))</f>
        <v/>
      </c>
      <c r="Q190" s="22">
        <f>(D190-AVERAGE(D$4:D$213))/STDEVP(D$4:D$213)</f>
        <v/>
      </c>
      <c r="R190" s="23">
        <f>M190/MEDIAN(M$4:M$213)</f>
        <v/>
      </c>
      <c r="S190" s="24">
        <f>IF(Q190&gt;=요약!$C$5,"대량매수",IF(Q190&lt;=-요약!$C$5,"대량매도",""))</f>
        <v/>
      </c>
    </row>
    <row r="191">
      <c r="A191" s="19" t="n">
        <v>46015</v>
      </c>
      <c r="B191" s="20" t="n">
        <v>-7171</v>
      </c>
      <c r="C191" s="20" t="n">
        <v>5225</v>
      </c>
      <c r="D191" s="20" t="n">
        <v>2039</v>
      </c>
      <c r="E191" s="20" t="n">
        <v>2523</v>
      </c>
      <c r="F191" s="20" t="n">
        <v>-82</v>
      </c>
      <c r="G191" s="20" t="n">
        <v>-725</v>
      </c>
      <c r="H191" s="20" t="n">
        <v>5</v>
      </c>
      <c r="I191" s="20" t="n">
        <v>-9</v>
      </c>
      <c r="J191" s="20" t="n">
        <v>327</v>
      </c>
      <c r="K191" s="20" t="n">
        <v>-93</v>
      </c>
      <c r="L191" s="21">
        <f>ABS(C191)</f>
        <v/>
      </c>
      <c r="M191" s="21">
        <f>ABS(D191)</f>
        <v/>
      </c>
      <c r="N191" s="22">
        <f>(C191-AVERAGE(C$4:C$213))/STDEVP(C$4:C$213)</f>
        <v/>
      </c>
      <c r="O191" s="23">
        <f>L191/MEDIAN(L$4:L$213)</f>
        <v/>
      </c>
      <c r="P191" s="24">
        <f>IF(N191&gt;=요약!$C$5,"대량매수",IF(N191&lt;=-요약!$C$5,"대량매도",""))</f>
        <v/>
      </c>
      <c r="Q191" s="22">
        <f>(D191-AVERAGE(D$4:D$213))/STDEVP(D$4:D$213)</f>
        <v/>
      </c>
      <c r="R191" s="23">
        <f>M191/MEDIAN(M$4:M$213)</f>
        <v/>
      </c>
      <c r="S191" s="24">
        <f>IF(Q191&gt;=요약!$C$5,"대량매수",IF(Q191&lt;=-요약!$C$5,"대량매도",""))</f>
        <v/>
      </c>
    </row>
    <row r="192">
      <c r="A192" s="19" t="n">
        <v>46014</v>
      </c>
      <c r="B192" s="20" t="n">
        <v>-12853</v>
      </c>
      <c r="C192" s="20" t="n">
        <v>9551</v>
      </c>
      <c r="D192" s="20" t="n">
        <v>3527</v>
      </c>
      <c r="E192" s="20" t="n">
        <v>5333</v>
      </c>
      <c r="F192" s="20" t="n">
        <v>-299</v>
      </c>
      <c r="G192" s="20" t="n">
        <v>-1127</v>
      </c>
      <c r="H192" s="20" t="n">
        <v>-20</v>
      </c>
      <c r="I192" s="20" t="n">
        <v>14</v>
      </c>
      <c r="J192" s="20" t="n">
        <v>-374</v>
      </c>
      <c r="K192" s="20" t="n">
        <v>-225</v>
      </c>
      <c r="L192" s="21">
        <f>ABS(C192)</f>
        <v/>
      </c>
      <c r="M192" s="21">
        <f>ABS(D192)</f>
        <v/>
      </c>
      <c r="N192" s="22">
        <f>(C192-AVERAGE(C$4:C$213))/STDEVP(C$4:C$213)</f>
        <v/>
      </c>
      <c r="O192" s="23">
        <f>L192/MEDIAN(L$4:L$213)</f>
        <v/>
      </c>
      <c r="P192" s="24">
        <f>IF(N192&gt;=요약!$C$5,"대량매수",IF(N192&lt;=-요약!$C$5,"대량매도",""))</f>
        <v/>
      </c>
      <c r="Q192" s="22">
        <f>(D192-AVERAGE(D$4:D$213))/STDEVP(D$4:D$213)</f>
        <v/>
      </c>
      <c r="R192" s="23">
        <f>M192/MEDIAN(M$4:M$213)</f>
        <v/>
      </c>
      <c r="S192" s="24">
        <f>IF(Q192&gt;=요약!$C$5,"대량매수",IF(Q192&lt;=-요약!$C$5,"대량매도",""))</f>
        <v/>
      </c>
    </row>
    <row r="193">
      <c r="A193" s="19" t="n">
        <v>46013</v>
      </c>
      <c r="B193" s="20" t="n">
        <v>-26714</v>
      </c>
      <c r="C193" s="20" t="n">
        <v>11017</v>
      </c>
      <c r="D193" s="20" t="n">
        <v>16055</v>
      </c>
      <c r="E193" s="20" t="n">
        <v>16221</v>
      </c>
      <c r="F193" s="20" t="n">
        <v>-231</v>
      </c>
      <c r="G193" s="20" t="n">
        <v>-131</v>
      </c>
      <c r="H193" s="20" t="n">
        <v>7</v>
      </c>
      <c r="I193" s="20" t="n">
        <v>-41</v>
      </c>
      <c r="J193" s="20" t="n">
        <v>228</v>
      </c>
      <c r="K193" s="20" t="n">
        <v>-357</v>
      </c>
      <c r="L193" s="21">
        <f>ABS(C193)</f>
        <v/>
      </c>
      <c r="M193" s="21">
        <f>ABS(D193)</f>
        <v/>
      </c>
      <c r="N193" s="22">
        <f>(C193-AVERAGE(C$4:C$213))/STDEVP(C$4:C$213)</f>
        <v/>
      </c>
      <c r="O193" s="23">
        <f>L193/MEDIAN(L$4:L$213)</f>
        <v/>
      </c>
      <c r="P193" s="24">
        <f>IF(N193&gt;=요약!$C$5,"대량매수",IF(N193&lt;=-요약!$C$5,"대량매도",""))</f>
        <v/>
      </c>
      <c r="Q193" s="22">
        <f>(D193-AVERAGE(D$4:D$213))/STDEVP(D$4:D$213)</f>
        <v/>
      </c>
      <c r="R193" s="23">
        <f>M193/MEDIAN(M$4:M$213)</f>
        <v/>
      </c>
      <c r="S193" s="24">
        <f>IF(Q193&gt;=요약!$C$5,"대량매수",IF(Q193&lt;=-요약!$C$5,"대량매도",""))</f>
        <v/>
      </c>
    </row>
    <row r="194">
      <c r="A194" s="19" t="n">
        <v>46010</v>
      </c>
      <c r="B194" s="20" t="n">
        <v>-1413</v>
      </c>
      <c r="C194" s="20" t="n">
        <v>-7573</v>
      </c>
      <c r="D194" s="20" t="n">
        <v>8541</v>
      </c>
      <c r="E194" s="20" t="n">
        <v>9642</v>
      </c>
      <c r="F194" s="20" t="n">
        <v>-468</v>
      </c>
      <c r="G194" s="20" t="n">
        <v>84</v>
      </c>
      <c r="H194" s="20" t="n">
        <v>-4</v>
      </c>
      <c r="I194" s="20" t="n">
        <v>-300</v>
      </c>
      <c r="J194" s="20" t="n">
        <v>-412</v>
      </c>
      <c r="K194" s="20" t="n">
        <v>444</v>
      </c>
      <c r="L194" s="21">
        <f>ABS(C194)</f>
        <v/>
      </c>
      <c r="M194" s="21">
        <f>ABS(D194)</f>
        <v/>
      </c>
      <c r="N194" s="22">
        <f>(C194-AVERAGE(C$4:C$213))/STDEVP(C$4:C$213)</f>
        <v/>
      </c>
      <c r="O194" s="23">
        <f>L194/MEDIAN(L$4:L$213)</f>
        <v/>
      </c>
      <c r="P194" s="24">
        <f>IF(N194&gt;=요약!$C$5,"대량매수",IF(N194&lt;=-요약!$C$5,"대량매도",""))</f>
        <v/>
      </c>
      <c r="Q194" s="22">
        <f>(D194-AVERAGE(D$4:D$213))/STDEVP(D$4:D$213)</f>
        <v/>
      </c>
      <c r="R194" s="23">
        <f>M194/MEDIAN(M$4:M$213)</f>
        <v/>
      </c>
      <c r="S194" s="24">
        <f>IF(Q194&gt;=요약!$C$5,"대량매수",IF(Q194&lt;=-요약!$C$5,"대량매도",""))</f>
        <v/>
      </c>
    </row>
    <row r="195">
      <c r="A195" s="19" t="n">
        <v>46009</v>
      </c>
      <c r="B195" s="20" t="n">
        <v>4130</v>
      </c>
      <c r="C195" s="20" t="n">
        <v>-3459</v>
      </c>
      <c r="D195" s="20" t="n">
        <v>-1006</v>
      </c>
      <c r="E195" s="20" t="n">
        <v>1563</v>
      </c>
      <c r="F195" s="20" t="n">
        <v>-233</v>
      </c>
      <c r="G195" s="20" t="n">
        <v>-1473</v>
      </c>
      <c r="H195" s="20" t="n">
        <v>-5</v>
      </c>
      <c r="I195" s="20" t="n">
        <v>-11</v>
      </c>
      <c r="J195" s="20" t="n">
        <v>-846</v>
      </c>
      <c r="K195" s="20" t="n">
        <v>336</v>
      </c>
      <c r="L195" s="21">
        <f>ABS(C195)</f>
        <v/>
      </c>
      <c r="M195" s="21">
        <f>ABS(D195)</f>
        <v/>
      </c>
      <c r="N195" s="22">
        <f>(C195-AVERAGE(C$4:C$213))/STDEVP(C$4:C$213)</f>
        <v/>
      </c>
      <c r="O195" s="23">
        <f>L195/MEDIAN(L$4:L$213)</f>
        <v/>
      </c>
      <c r="P195" s="24">
        <f>IF(N195&gt;=요약!$C$5,"대량매수",IF(N195&lt;=-요약!$C$5,"대량매도",""))</f>
        <v/>
      </c>
      <c r="Q195" s="22">
        <f>(D195-AVERAGE(D$4:D$213))/STDEVP(D$4:D$213)</f>
        <v/>
      </c>
      <c r="R195" s="23">
        <f>M195/MEDIAN(M$4:M$213)</f>
        <v/>
      </c>
      <c r="S195" s="24">
        <f>IF(Q195&gt;=요약!$C$5,"대량매수",IF(Q195&lt;=-요약!$C$5,"대량매도",""))</f>
        <v/>
      </c>
    </row>
    <row r="196">
      <c r="A196" s="19" t="n">
        <v>46008</v>
      </c>
      <c r="B196" s="20" t="n">
        <v>-3374</v>
      </c>
      <c r="C196" s="20" t="n">
        <v>-322</v>
      </c>
      <c r="D196" s="20" t="n">
        <v>3353</v>
      </c>
      <c r="E196" s="20" t="n">
        <v>3794</v>
      </c>
      <c r="F196" s="20" t="n">
        <v>50</v>
      </c>
      <c r="G196" s="20" t="n">
        <v>-231</v>
      </c>
      <c r="H196" s="20" t="n">
        <v>29</v>
      </c>
      <c r="I196" s="20" t="n">
        <v>-4</v>
      </c>
      <c r="J196" s="20" t="n">
        <v>-287</v>
      </c>
      <c r="K196" s="20" t="n">
        <v>343</v>
      </c>
      <c r="L196" s="21">
        <f>ABS(C196)</f>
        <v/>
      </c>
      <c r="M196" s="21">
        <f>ABS(D196)</f>
        <v/>
      </c>
      <c r="N196" s="22">
        <f>(C196-AVERAGE(C$4:C$213))/STDEVP(C$4:C$213)</f>
        <v/>
      </c>
      <c r="O196" s="23">
        <f>L196/MEDIAN(L$4:L$213)</f>
        <v/>
      </c>
      <c r="P196" s="24">
        <f>IF(N196&gt;=요약!$C$5,"대량매수",IF(N196&lt;=-요약!$C$5,"대량매도",""))</f>
        <v/>
      </c>
      <c r="Q196" s="22">
        <f>(D196-AVERAGE(D$4:D$213))/STDEVP(D$4:D$213)</f>
        <v/>
      </c>
      <c r="R196" s="23">
        <f>M196/MEDIAN(M$4:M$213)</f>
        <v/>
      </c>
      <c r="S196" s="24">
        <f>IF(Q196&gt;=요약!$C$5,"대량매수",IF(Q196&lt;=-요약!$C$5,"대량매도",""))</f>
        <v/>
      </c>
    </row>
    <row r="197">
      <c r="A197" s="19" t="n">
        <v>46007</v>
      </c>
      <c r="B197" s="20" t="n">
        <v>12410</v>
      </c>
      <c r="C197" s="20" t="n">
        <v>-10305</v>
      </c>
      <c r="D197" s="20" t="n">
        <v>-2309</v>
      </c>
      <c r="E197" s="20" t="n">
        <v>1481</v>
      </c>
      <c r="F197" s="20" t="n">
        <v>-606</v>
      </c>
      <c r="G197" s="20" t="n">
        <v>-3258</v>
      </c>
      <c r="H197" s="20" t="n">
        <v>-67</v>
      </c>
      <c r="I197" s="20" t="n">
        <v>3</v>
      </c>
      <c r="J197" s="20" t="n">
        <v>137</v>
      </c>
      <c r="K197" s="20" t="n">
        <v>204</v>
      </c>
      <c r="L197" s="21">
        <f>ABS(C197)</f>
        <v/>
      </c>
      <c r="M197" s="21">
        <f>ABS(D197)</f>
        <v/>
      </c>
      <c r="N197" s="22">
        <f>(C197-AVERAGE(C$4:C$213))/STDEVP(C$4:C$213)</f>
        <v/>
      </c>
      <c r="O197" s="23">
        <f>L197/MEDIAN(L$4:L$213)</f>
        <v/>
      </c>
      <c r="P197" s="24">
        <f>IF(N197&gt;=요약!$C$5,"대량매수",IF(N197&lt;=-요약!$C$5,"대량매도",""))</f>
        <v/>
      </c>
      <c r="Q197" s="22">
        <f>(D197-AVERAGE(D$4:D$213))/STDEVP(D$4:D$213)</f>
        <v/>
      </c>
      <c r="R197" s="23">
        <f>M197/MEDIAN(M$4:M$213)</f>
        <v/>
      </c>
      <c r="S197" s="24">
        <f>IF(Q197&gt;=요약!$C$5,"대량매수",IF(Q197&lt;=-요약!$C$5,"대량매도",""))</f>
        <v/>
      </c>
    </row>
    <row r="198">
      <c r="A198" s="19" t="n">
        <v>46006</v>
      </c>
      <c r="B198" s="20" t="n">
        <v>14210</v>
      </c>
      <c r="C198" s="20" t="n">
        <v>-9569</v>
      </c>
      <c r="D198" s="20" t="n">
        <v>-4803</v>
      </c>
      <c r="E198" s="20" t="n">
        <v>-3920</v>
      </c>
      <c r="F198" s="20" t="n">
        <v>-83</v>
      </c>
      <c r="G198" s="20" t="n">
        <v>-1950</v>
      </c>
      <c r="H198" s="20" t="n">
        <v>-11</v>
      </c>
      <c r="I198" s="20" t="n">
        <v>-5</v>
      </c>
      <c r="J198" s="20" t="n">
        <v>1166</v>
      </c>
      <c r="K198" s="20" t="n">
        <v>161</v>
      </c>
      <c r="L198" s="21">
        <f>ABS(C198)</f>
        <v/>
      </c>
      <c r="M198" s="21">
        <f>ABS(D198)</f>
        <v/>
      </c>
      <c r="N198" s="22">
        <f>(C198-AVERAGE(C$4:C$213))/STDEVP(C$4:C$213)</f>
        <v/>
      </c>
      <c r="O198" s="23">
        <f>L198/MEDIAN(L$4:L$213)</f>
        <v/>
      </c>
      <c r="P198" s="24">
        <f>IF(N198&gt;=요약!$C$5,"대량매수",IF(N198&lt;=-요약!$C$5,"대량매도",""))</f>
        <v/>
      </c>
      <c r="Q198" s="22">
        <f>(D198-AVERAGE(D$4:D$213))/STDEVP(D$4:D$213)</f>
        <v/>
      </c>
      <c r="R198" s="23">
        <f>M198/MEDIAN(M$4:M$213)</f>
        <v/>
      </c>
      <c r="S198" s="24">
        <f>IF(Q198&gt;=요약!$C$5,"대량매수",IF(Q198&lt;=-요약!$C$5,"대량매도",""))</f>
        <v/>
      </c>
    </row>
    <row r="199">
      <c r="A199" s="19" t="n">
        <v>46003</v>
      </c>
      <c r="B199" s="20" t="n">
        <v>-14625</v>
      </c>
      <c r="C199" s="20" t="n">
        <v>414</v>
      </c>
      <c r="D199" s="20" t="n">
        <v>14184</v>
      </c>
      <c r="E199" s="20" t="n">
        <v>14387</v>
      </c>
      <c r="F199" s="20" t="n">
        <v>-118</v>
      </c>
      <c r="G199" s="20" t="n">
        <v>-998</v>
      </c>
      <c r="H199" s="20" t="n">
        <v>15</v>
      </c>
      <c r="I199" s="20" t="n">
        <v>6</v>
      </c>
      <c r="J199" s="20" t="n">
        <v>892</v>
      </c>
      <c r="K199" s="20" t="n">
        <v>27</v>
      </c>
      <c r="L199" s="21">
        <f>ABS(C199)</f>
        <v/>
      </c>
      <c r="M199" s="21">
        <f>ABS(D199)</f>
        <v/>
      </c>
      <c r="N199" s="22">
        <f>(C199-AVERAGE(C$4:C$213))/STDEVP(C$4:C$213)</f>
        <v/>
      </c>
      <c r="O199" s="23">
        <f>L199/MEDIAN(L$4:L$213)</f>
        <v/>
      </c>
      <c r="P199" s="24">
        <f>IF(N199&gt;=요약!$C$5,"대량매수",IF(N199&lt;=-요약!$C$5,"대량매도",""))</f>
        <v/>
      </c>
      <c r="Q199" s="22">
        <f>(D199-AVERAGE(D$4:D$213))/STDEVP(D$4:D$213)</f>
        <v/>
      </c>
      <c r="R199" s="23">
        <f>M199/MEDIAN(M$4:M$213)</f>
        <v/>
      </c>
      <c r="S199" s="24">
        <f>IF(Q199&gt;=요약!$C$5,"대량매수",IF(Q199&lt;=-요약!$C$5,"대량매도",""))</f>
        <v/>
      </c>
    </row>
    <row r="200">
      <c r="A200" s="19" t="n">
        <v>46002</v>
      </c>
      <c r="B200" s="20" t="n">
        <v>3922</v>
      </c>
      <c r="C200" s="20" t="n">
        <v>3656</v>
      </c>
      <c r="D200" s="20" t="n">
        <v>-7753</v>
      </c>
      <c r="E200" s="20" t="n">
        <v>-6882</v>
      </c>
      <c r="F200" s="20" t="n">
        <v>-233</v>
      </c>
      <c r="G200" s="20" t="n">
        <v>-359</v>
      </c>
      <c r="H200" s="20" t="n">
        <v>34</v>
      </c>
      <c r="I200" s="20" t="n">
        <v>-140</v>
      </c>
      <c r="J200" s="20" t="n">
        <v>-174</v>
      </c>
      <c r="K200" s="20" t="n">
        <v>174</v>
      </c>
      <c r="L200" s="21">
        <f>ABS(C200)</f>
        <v/>
      </c>
      <c r="M200" s="21">
        <f>ABS(D200)</f>
        <v/>
      </c>
      <c r="N200" s="22">
        <f>(C200-AVERAGE(C$4:C$213))/STDEVP(C$4:C$213)</f>
        <v/>
      </c>
      <c r="O200" s="23">
        <f>L200/MEDIAN(L$4:L$213)</f>
        <v/>
      </c>
      <c r="P200" s="24">
        <f>IF(N200&gt;=요약!$C$5,"대량매수",IF(N200&lt;=-요약!$C$5,"대량매도",""))</f>
        <v/>
      </c>
      <c r="Q200" s="22">
        <f>(D200-AVERAGE(D$4:D$213))/STDEVP(D$4:D$213)</f>
        <v/>
      </c>
      <c r="R200" s="23">
        <f>M200/MEDIAN(M$4:M$213)</f>
        <v/>
      </c>
      <c r="S200" s="24">
        <f>IF(Q200&gt;=요약!$C$5,"대량매수",IF(Q200&lt;=-요약!$C$5,"대량매도",""))</f>
        <v/>
      </c>
    </row>
    <row r="201">
      <c r="A201" s="19" t="n">
        <v>46001</v>
      </c>
      <c r="B201" s="20" t="n">
        <v>-889</v>
      </c>
      <c r="C201" s="20" t="n">
        <v>3739</v>
      </c>
      <c r="D201" s="20" t="n">
        <v>-3003</v>
      </c>
      <c r="E201" s="20" t="n">
        <v>-1023</v>
      </c>
      <c r="F201" s="20" t="n">
        <v>-601</v>
      </c>
      <c r="G201" s="20" t="n">
        <v>-1502</v>
      </c>
      <c r="H201" s="20" t="n">
        <v>-35</v>
      </c>
      <c r="I201" s="20" t="n">
        <v>1</v>
      </c>
      <c r="J201" s="20" t="n">
        <v>157</v>
      </c>
      <c r="K201" s="20" t="n">
        <v>153</v>
      </c>
      <c r="L201" s="21">
        <f>ABS(C201)</f>
        <v/>
      </c>
      <c r="M201" s="21">
        <f>ABS(D201)</f>
        <v/>
      </c>
      <c r="N201" s="22">
        <f>(C201-AVERAGE(C$4:C$213))/STDEVP(C$4:C$213)</f>
        <v/>
      </c>
      <c r="O201" s="23">
        <f>L201/MEDIAN(L$4:L$213)</f>
        <v/>
      </c>
      <c r="P201" s="24">
        <f>IF(N201&gt;=요약!$C$5,"대량매수",IF(N201&lt;=-요약!$C$5,"대량매도",""))</f>
        <v/>
      </c>
      <c r="Q201" s="22">
        <f>(D201-AVERAGE(D$4:D$213))/STDEVP(D$4:D$213)</f>
        <v/>
      </c>
      <c r="R201" s="23">
        <f>M201/MEDIAN(M$4:M$213)</f>
        <v/>
      </c>
      <c r="S201" s="24">
        <f>IF(Q201&gt;=요약!$C$5,"대량매수",IF(Q201&lt;=-요약!$C$5,"대량매도",""))</f>
        <v/>
      </c>
    </row>
    <row r="202">
      <c r="A202" s="19" t="n">
        <v>46000</v>
      </c>
      <c r="B202" s="20" t="n">
        <v>-133</v>
      </c>
      <c r="C202" s="20" t="n">
        <v>-889</v>
      </c>
      <c r="D202" s="20" t="n">
        <v>494</v>
      </c>
      <c r="E202" s="20" t="n">
        <v>-983</v>
      </c>
      <c r="F202" s="20" t="n">
        <v>-149</v>
      </c>
      <c r="G202" s="20" t="n">
        <v>714</v>
      </c>
      <c r="H202" s="20" t="n">
        <v>3</v>
      </c>
      <c r="I202" s="20" t="n">
        <v>-87</v>
      </c>
      <c r="J202" s="20" t="n">
        <v>996</v>
      </c>
      <c r="K202" s="20" t="n">
        <v>528</v>
      </c>
      <c r="L202" s="21">
        <f>ABS(C202)</f>
        <v/>
      </c>
      <c r="M202" s="21">
        <f>ABS(D202)</f>
        <v/>
      </c>
      <c r="N202" s="22">
        <f>(C202-AVERAGE(C$4:C$213))/STDEVP(C$4:C$213)</f>
        <v/>
      </c>
      <c r="O202" s="23">
        <f>L202/MEDIAN(L$4:L$213)</f>
        <v/>
      </c>
      <c r="P202" s="24">
        <f>IF(N202&gt;=요약!$C$5,"대량매수",IF(N202&lt;=-요약!$C$5,"대량매도",""))</f>
        <v/>
      </c>
      <c r="Q202" s="22">
        <f>(D202-AVERAGE(D$4:D$213))/STDEVP(D$4:D$213)</f>
        <v/>
      </c>
      <c r="R202" s="23">
        <f>M202/MEDIAN(M$4:M$213)</f>
        <v/>
      </c>
      <c r="S202" s="24">
        <f>IF(Q202&gt;=요약!$C$5,"대량매수",IF(Q202&lt;=-요약!$C$5,"대량매도",""))</f>
        <v/>
      </c>
    </row>
    <row r="203">
      <c r="A203" s="19" t="n">
        <v>45999</v>
      </c>
      <c r="B203" s="20" t="n">
        <v>-3449</v>
      </c>
      <c r="C203" s="20" t="n">
        <v>3211</v>
      </c>
      <c r="D203" s="20" t="n">
        <v>-308</v>
      </c>
      <c r="E203" s="20" t="n">
        <v>-1408</v>
      </c>
      <c r="F203" s="20" t="n">
        <v>-210</v>
      </c>
      <c r="G203" s="20" t="n">
        <v>1483</v>
      </c>
      <c r="H203" s="20" t="n">
        <v>-43</v>
      </c>
      <c r="I203" s="20" t="n">
        <v>24</v>
      </c>
      <c r="J203" s="20" t="n">
        <v>-153</v>
      </c>
      <c r="K203" s="20" t="n">
        <v>546</v>
      </c>
      <c r="L203" s="21">
        <f>ABS(C203)</f>
        <v/>
      </c>
      <c r="M203" s="21">
        <f>ABS(D203)</f>
        <v/>
      </c>
      <c r="N203" s="22">
        <f>(C203-AVERAGE(C$4:C$213))/STDEVP(C$4:C$213)</f>
        <v/>
      </c>
      <c r="O203" s="23">
        <f>L203/MEDIAN(L$4:L$213)</f>
        <v/>
      </c>
      <c r="P203" s="24">
        <f>IF(N203&gt;=요약!$C$5,"대량매수",IF(N203&lt;=-요약!$C$5,"대량매도",""))</f>
        <v/>
      </c>
      <c r="Q203" s="22">
        <f>(D203-AVERAGE(D$4:D$213))/STDEVP(D$4:D$213)</f>
        <v/>
      </c>
      <c r="R203" s="23">
        <f>M203/MEDIAN(M$4:M$213)</f>
        <v/>
      </c>
      <c r="S203" s="24">
        <f>IF(Q203&gt;=요약!$C$5,"대량매수",IF(Q203&lt;=-요약!$C$5,"대량매도",""))</f>
        <v/>
      </c>
    </row>
    <row r="204">
      <c r="A204" s="19" t="n">
        <v>45996</v>
      </c>
      <c r="B204" s="20" t="n">
        <v>-21156</v>
      </c>
      <c r="C204" s="20" t="n">
        <v>9934</v>
      </c>
      <c r="D204" s="20" t="n">
        <v>11528</v>
      </c>
      <c r="E204" s="20" t="n">
        <v>8490</v>
      </c>
      <c r="F204" s="20" t="n">
        <v>61</v>
      </c>
      <c r="G204" s="20" t="n">
        <v>2818</v>
      </c>
      <c r="H204" s="20" t="n">
        <v>53</v>
      </c>
      <c r="I204" s="20" t="n">
        <v>48</v>
      </c>
      <c r="J204" s="20" t="n">
        <v>58</v>
      </c>
      <c r="K204" s="20" t="n">
        <v>-305</v>
      </c>
      <c r="L204" s="21">
        <f>ABS(C204)</f>
        <v/>
      </c>
      <c r="M204" s="21">
        <f>ABS(D204)</f>
        <v/>
      </c>
      <c r="N204" s="22">
        <f>(C204-AVERAGE(C$4:C$213))/STDEVP(C$4:C$213)</f>
        <v/>
      </c>
      <c r="O204" s="23">
        <f>L204/MEDIAN(L$4:L$213)</f>
        <v/>
      </c>
      <c r="P204" s="24">
        <f>IF(N204&gt;=요약!$C$5,"대량매수",IF(N204&lt;=-요약!$C$5,"대량매도",""))</f>
        <v/>
      </c>
      <c r="Q204" s="22">
        <f>(D204-AVERAGE(D$4:D$213))/STDEVP(D$4:D$213)</f>
        <v/>
      </c>
      <c r="R204" s="23">
        <f>M204/MEDIAN(M$4:M$213)</f>
        <v/>
      </c>
      <c r="S204" s="24">
        <f>IF(Q204&gt;=요약!$C$5,"대량매수",IF(Q204&lt;=-요약!$C$5,"대량매도",""))</f>
        <v/>
      </c>
    </row>
    <row r="205">
      <c r="A205" s="19" t="n">
        <v>45995</v>
      </c>
      <c r="B205" s="20" t="n">
        <v>5585</v>
      </c>
      <c r="C205" s="20" t="n">
        <v>-6960</v>
      </c>
      <c r="D205" s="20" t="n">
        <v>1318</v>
      </c>
      <c r="E205" s="20" t="n">
        <v>1071</v>
      </c>
      <c r="F205" s="20" t="n">
        <v>-42</v>
      </c>
      <c r="G205" s="20" t="n">
        <v>-170</v>
      </c>
      <c r="H205" s="20" t="n">
        <v>-81</v>
      </c>
      <c r="I205" s="20" t="n">
        <v>18</v>
      </c>
      <c r="J205" s="20" t="n">
        <v>522</v>
      </c>
      <c r="K205" s="20" t="n">
        <v>56</v>
      </c>
      <c r="L205" s="21">
        <f>ABS(C205)</f>
        <v/>
      </c>
      <c r="M205" s="21">
        <f>ABS(D205)</f>
        <v/>
      </c>
      <c r="N205" s="22">
        <f>(C205-AVERAGE(C$4:C$213))/STDEVP(C$4:C$213)</f>
        <v/>
      </c>
      <c r="O205" s="23">
        <f>L205/MEDIAN(L$4:L$213)</f>
        <v/>
      </c>
      <c r="P205" s="24">
        <f>IF(N205&gt;=요약!$C$5,"대량매수",IF(N205&lt;=-요약!$C$5,"대량매도",""))</f>
        <v/>
      </c>
      <c r="Q205" s="22">
        <f>(D205-AVERAGE(D$4:D$213))/STDEVP(D$4:D$213)</f>
        <v/>
      </c>
      <c r="R205" s="23">
        <f>M205/MEDIAN(M$4:M$213)</f>
        <v/>
      </c>
      <c r="S205" s="24">
        <f>IF(Q205&gt;=요약!$C$5,"대량매수",IF(Q205&lt;=-요약!$C$5,"대량매도",""))</f>
        <v/>
      </c>
    </row>
    <row r="206">
      <c r="A206" s="19" t="n">
        <v>45994</v>
      </c>
      <c r="B206" s="20" t="n">
        <v>-8984</v>
      </c>
      <c r="C206" s="20" t="n">
        <v>2816</v>
      </c>
      <c r="D206" s="20" t="n">
        <v>7364</v>
      </c>
      <c r="E206" s="20" t="n">
        <v>4873</v>
      </c>
      <c r="F206" s="20" t="n">
        <v>144</v>
      </c>
      <c r="G206" s="20" t="n">
        <v>1948</v>
      </c>
      <c r="H206" s="20" t="n">
        <v>-7</v>
      </c>
      <c r="I206" s="20" t="n">
        <v>-220</v>
      </c>
      <c r="J206" s="20" t="n">
        <v>627</v>
      </c>
      <c r="K206" s="20" t="n">
        <v>-1196</v>
      </c>
      <c r="L206" s="21">
        <f>ABS(C206)</f>
        <v/>
      </c>
      <c r="M206" s="21">
        <f>ABS(D206)</f>
        <v/>
      </c>
      <c r="N206" s="22">
        <f>(C206-AVERAGE(C$4:C$213))/STDEVP(C$4:C$213)</f>
        <v/>
      </c>
      <c r="O206" s="23">
        <f>L206/MEDIAN(L$4:L$213)</f>
        <v/>
      </c>
      <c r="P206" s="24">
        <f>IF(N206&gt;=요약!$C$5,"대량매수",IF(N206&lt;=-요약!$C$5,"대량매도",""))</f>
        <v/>
      </c>
      <c r="Q206" s="22">
        <f>(D206-AVERAGE(D$4:D$213))/STDEVP(D$4:D$213)</f>
        <v/>
      </c>
      <c r="R206" s="23">
        <f>M206/MEDIAN(M$4:M$213)</f>
        <v/>
      </c>
      <c r="S206" s="24">
        <f>IF(Q206&gt;=요약!$C$5,"대량매수",IF(Q206&lt;=-요약!$C$5,"대량매도",""))</f>
        <v/>
      </c>
    </row>
    <row r="207">
      <c r="A207" s="19" t="n">
        <v>45993</v>
      </c>
      <c r="B207" s="20" t="n">
        <v>-15763</v>
      </c>
      <c r="C207" s="20" t="n">
        <v>12147</v>
      </c>
      <c r="D207" s="20" t="n">
        <v>3929</v>
      </c>
      <c r="E207" s="20" t="n">
        <v>2475</v>
      </c>
      <c r="F207" s="20" t="n">
        <v>-22</v>
      </c>
      <c r="G207" s="20" t="n">
        <v>925</v>
      </c>
      <c r="H207" s="20" t="n">
        <v>-168</v>
      </c>
      <c r="I207" s="20" t="n">
        <v>11</v>
      </c>
      <c r="J207" s="20" t="n">
        <v>708</v>
      </c>
      <c r="K207" s="20" t="n">
        <v>-313</v>
      </c>
      <c r="L207" s="21">
        <f>ABS(C207)</f>
        <v/>
      </c>
      <c r="M207" s="21">
        <f>ABS(D207)</f>
        <v/>
      </c>
      <c r="N207" s="22">
        <f>(C207-AVERAGE(C$4:C$213))/STDEVP(C$4:C$213)</f>
        <v/>
      </c>
      <c r="O207" s="23">
        <f>L207/MEDIAN(L$4:L$213)</f>
        <v/>
      </c>
      <c r="P207" s="24">
        <f>IF(N207&gt;=요약!$C$5,"대량매수",IF(N207&lt;=-요약!$C$5,"대량매도",""))</f>
        <v/>
      </c>
      <c r="Q207" s="22">
        <f>(D207-AVERAGE(D$4:D$213))/STDEVP(D$4:D$213)</f>
        <v/>
      </c>
      <c r="R207" s="23">
        <f>M207/MEDIAN(M$4:M$213)</f>
        <v/>
      </c>
      <c r="S207" s="24">
        <f>IF(Q207&gt;=요약!$C$5,"대량매수",IF(Q207&lt;=-요약!$C$5,"대량매도",""))</f>
        <v/>
      </c>
    </row>
    <row r="208">
      <c r="A208" s="19" t="n">
        <v>45992</v>
      </c>
      <c r="B208" s="20" t="n">
        <v>529</v>
      </c>
      <c r="C208" s="20" t="n">
        <v>2235</v>
      </c>
      <c r="D208" s="20" t="n">
        <v>-2333</v>
      </c>
      <c r="E208" s="20" t="n">
        <v>-689</v>
      </c>
      <c r="F208" s="20" t="n">
        <v>-99</v>
      </c>
      <c r="G208" s="20" t="n">
        <v>-498</v>
      </c>
      <c r="H208" s="20" t="n">
        <v>-102</v>
      </c>
      <c r="I208" s="20" t="n">
        <v>18</v>
      </c>
      <c r="J208" s="20" t="n">
        <v>-962</v>
      </c>
      <c r="K208" s="20" t="n">
        <v>-431</v>
      </c>
      <c r="L208" s="21">
        <f>ABS(C208)</f>
        <v/>
      </c>
      <c r="M208" s="21">
        <f>ABS(D208)</f>
        <v/>
      </c>
      <c r="N208" s="22">
        <f>(C208-AVERAGE(C$4:C$213))/STDEVP(C$4:C$213)</f>
        <v/>
      </c>
      <c r="O208" s="23">
        <f>L208/MEDIAN(L$4:L$213)</f>
        <v/>
      </c>
      <c r="P208" s="24">
        <f>IF(N208&gt;=요약!$C$5,"대량매수",IF(N208&lt;=-요약!$C$5,"대량매도",""))</f>
        <v/>
      </c>
      <c r="Q208" s="22">
        <f>(D208-AVERAGE(D$4:D$213))/STDEVP(D$4:D$213)</f>
        <v/>
      </c>
      <c r="R208" s="23">
        <f>M208/MEDIAN(M$4:M$213)</f>
        <v/>
      </c>
      <c r="S208" s="24">
        <f>IF(Q208&gt;=요약!$C$5,"대량매수",IF(Q208&lt;=-요약!$C$5,"대량매도",""))</f>
        <v/>
      </c>
    </row>
    <row r="209">
      <c r="A209" s="19" t="n">
        <v>45989</v>
      </c>
      <c r="B209" s="20" t="n">
        <v>15685</v>
      </c>
      <c r="C209" s="20" t="n">
        <v>-20369</v>
      </c>
      <c r="D209" s="20" t="n">
        <v>4587</v>
      </c>
      <c r="E209" s="20" t="n">
        <v>8392</v>
      </c>
      <c r="F209" s="20" t="n">
        <v>-384</v>
      </c>
      <c r="G209" s="20" t="n">
        <v>-2106</v>
      </c>
      <c r="H209" s="20" t="n">
        <v>-7</v>
      </c>
      <c r="I209" s="20" t="n">
        <v>60</v>
      </c>
      <c r="J209" s="20" t="n">
        <v>-1367</v>
      </c>
      <c r="K209" s="20" t="n">
        <v>97</v>
      </c>
      <c r="L209" s="21">
        <f>ABS(C209)</f>
        <v/>
      </c>
      <c r="M209" s="21">
        <f>ABS(D209)</f>
        <v/>
      </c>
      <c r="N209" s="22">
        <f>(C209-AVERAGE(C$4:C$213))/STDEVP(C$4:C$213)</f>
        <v/>
      </c>
      <c r="O209" s="23">
        <f>L209/MEDIAN(L$4:L$213)</f>
        <v/>
      </c>
      <c r="P209" s="24">
        <f>IF(N209&gt;=요약!$C$5,"대량매수",IF(N209&lt;=-요약!$C$5,"대량매도",""))</f>
        <v/>
      </c>
      <c r="Q209" s="22">
        <f>(D209-AVERAGE(D$4:D$213))/STDEVP(D$4:D$213)</f>
        <v/>
      </c>
      <c r="R209" s="23">
        <f>M209/MEDIAN(M$4:M$213)</f>
        <v/>
      </c>
      <c r="S209" s="24">
        <f>IF(Q209&gt;=요약!$C$5,"대량매수",IF(Q209&lt;=-요약!$C$5,"대량매도",""))</f>
        <v/>
      </c>
    </row>
    <row r="210">
      <c r="A210" s="19" t="n">
        <v>45988</v>
      </c>
      <c r="B210" s="20" t="n">
        <v>-6152</v>
      </c>
      <c r="C210" s="20" t="n">
        <v>1546</v>
      </c>
      <c r="D210" s="20" t="n">
        <v>4326</v>
      </c>
      <c r="E210" s="20" t="n">
        <v>3261</v>
      </c>
      <c r="F210" s="20" t="n">
        <v>-75</v>
      </c>
      <c r="G210" s="20" t="n">
        <v>1107</v>
      </c>
      <c r="H210" s="20" t="n">
        <v>-34</v>
      </c>
      <c r="I210" s="20" t="n">
        <v>72</v>
      </c>
      <c r="J210" s="20" t="n">
        <v>-6</v>
      </c>
      <c r="K210" s="20" t="n">
        <v>281</v>
      </c>
      <c r="L210" s="21">
        <f>ABS(C210)</f>
        <v/>
      </c>
      <c r="M210" s="21">
        <f>ABS(D210)</f>
        <v/>
      </c>
      <c r="N210" s="22">
        <f>(C210-AVERAGE(C$4:C$213))/STDEVP(C$4:C$213)</f>
        <v/>
      </c>
      <c r="O210" s="23">
        <f>L210/MEDIAN(L$4:L$213)</f>
        <v/>
      </c>
      <c r="P210" s="24">
        <f>IF(N210&gt;=요약!$C$5,"대량매수",IF(N210&lt;=-요약!$C$5,"대량매도",""))</f>
        <v/>
      </c>
      <c r="Q210" s="22">
        <f>(D210-AVERAGE(D$4:D$213))/STDEVP(D$4:D$213)</f>
        <v/>
      </c>
      <c r="R210" s="23">
        <f>M210/MEDIAN(M$4:M$213)</f>
        <v/>
      </c>
      <c r="S210" s="24">
        <f>IF(Q210&gt;=요약!$C$5,"대량매수",IF(Q210&lt;=-요약!$C$5,"대량매도",""))</f>
        <v/>
      </c>
    </row>
    <row r="211">
      <c r="A211" s="19" t="n">
        <v>45987</v>
      </c>
      <c r="B211" s="20" t="n">
        <v>-18048</v>
      </c>
      <c r="C211" s="20" t="n">
        <v>5158</v>
      </c>
      <c r="D211" s="20" t="n">
        <v>12280</v>
      </c>
      <c r="E211" s="20" t="n">
        <v>10376</v>
      </c>
      <c r="F211" s="20" t="n">
        <v>-34</v>
      </c>
      <c r="G211" s="20" t="n">
        <v>1625</v>
      </c>
      <c r="H211" s="20" t="n">
        <v>-121</v>
      </c>
      <c r="I211" s="20" t="n">
        <v>72</v>
      </c>
      <c r="J211" s="20" t="n">
        <v>362</v>
      </c>
      <c r="K211" s="20" t="n">
        <v>611</v>
      </c>
      <c r="L211" s="21">
        <f>ABS(C211)</f>
        <v/>
      </c>
      <c r="M211" s="21">
        <f>ABS(D211)</f>
        <v/>
      </c>
      <c r="N211" s="22">
        <f>(C211-AVERAGE(C$4:C$213))/STDEVP(C$4:C$213)</f>
        <v/>
      </c>
      <c r="O211" s="23">
        <f>L211/MEDIAN(L$4:L$213)</f>
        <v/>
      </c>
      <c r="P211" s="24">
        <f>IF(N211&gt;=요약!$C$5,"대량매수",IF(N211&lt;=-요약!$C$5,"대량매도",""))</f>
        <v/>
      </c>
      <c r="Q211" s="22">
        <f>(D211-AVERAGE(D$4:D$213))/STDEVP(D$4:D$213)</f>
        <v/>
      </c>
      <c r="R211" s="23">
        <f>M211/MEDIAN(M$4:M$213)</f>
        <v/>
      </c>
      <c r="S211" s="24">
        <f>IF(Q211&gt;=요약!$C$5,"대량매수",IF(Q211&lt;=-요약!$C$5,"대량매도",""))</f>
        <v/>
      </c>
    </row>
    <row r="212">
      <c r="A212" s="19" t="n">
        <v>45986</v>
      </c>
      <c r="B212" s="20" t="n">
        <v>-276</v>
      </c>
      <c r="C212" s="20" t="n">
        <v>49</v>
      </c>
      <c r="D212" s="20" t="n">
        <v>315</v>
      </c>
      <c r="E212" s="20" t="n">
        <v>197</v>
      </c>
      <c r="F212" s="20" t="n">
        <v>102</v>
      </c>
      <c r="G212" s="20" t="n">
        <v>559</v>
      </c>
      <c r="H212" s="20" t="n">
        <v>-17</v>
      </c>
      <c r="I212" s="20" t="n">
        <v>87</v>
      </c>
      <c r="J212" s="20" t="n">
        <v>-611</v>
      </c>
      <c r="K212" s="20" t="n">
        <v>-89</v>
      </c>
      <c r="L212" s="21">
        <f>ABS(C212)</f>
        <v/>
      </c>
      <c r="M212" s="21">
        <f>ABS(D212)</f>
        <v/>
      </c>
      <c r="N212" s="22">
        <f>(C212-AVERAGE(C$4:C$213))/STDEVP(C$4:C$213)</f>
        <v/>
      </c>
      <c r="O212" s="23">
        <f>L212/MEDIAN(L$4:L$213)</f>
        <v/>
      </c>
      <c r="P212" s="24">
        <f>IF(N212&gt;=요약!$C$5,"대량매수",IF(N212&lt;=-요약!$C$5,"대량매도",""))</f>
        <v/>
      </c>
      <c r="Q212" s="22">
        <f>(D212-AVERAGE(D$4:D$213))/STDEVP(D$4:D$213)</f>
        <v/>
      </c>
      <c r="R212" s="23">
        <f>M212/MEDIAN(M$4:M$213)</f>
        <v/>
      </c>
      <c r="S212" s="24">
        <f>IF(Q212&gt;=요약!$C$5,"대량매수",IF(Q212&lt;=-요약!$C$5,"대량매도",""))</f>
        <v/>
      </c>
    </row>
    <row r="213">
      <c r="A213" s="19" t="n">
        <v>45985</v>
      </c>
      <c r="B213" s="20" t="n">
        <v>-4619</v>
      </c>
      <c r="C213" s="20" t="n">
        <v>-7993</v>
      </c>
      <c r="D213" s="20" t="n">
        <v>12719</v>
      </c>
      <c r="E213" s="20" t="n">
        <v>11095</v>
      </c>
      <c r="F213" s="20" t="n">
        <v>-137</v>
      </c>
      <c r="G213" s="20" t="n">
        <v>1913</v>
      </c>
      <c r="H213" s="20" t="n">
        <v>0</v>
      </c>
      <c r="I213" s="20" t="n">
        <v>75</v>
      </c>
      <c r="J213" s="20" t="n">
        <v>-228</v>
      </c>
      <c r="K213" s="20" t="n">
        <v>-107</v>
      </c>
      <c r="L213" s="21">
        <f>ABS(C213)</f>
        <v/>
      </c>
      <c r="M213" s="21">
        <f>ABS(D213)</f>
        <v/>
      </c>
      <c r="N213" s="22">
        <f>(C213-AVERAGE(C$4:C$213))/STDEVP(C$4:C$213)</f>
        <v/>
      </c>
      <c r="O213" s="23">
        <f>L213/MEDIAN(L$4:L$213)</f>
        <v/>
      </c>
      <c r="P213" s="24">
        <f>IF(N213&gt;=요약!$C$5,"대량매수",IF(N213&lt;=-요약!$C$5,"대량매도",""))</f>
        <v/>
      </c>
      <c r="Q213" s="22">
        <f>(D213-AVERAGE(D$4:D$213))/STDEVP(D$4:D$213)</f>
        <v/>
      </c>
      <c r="R213" s="23">
        <f>M213/MEDIAN(M$4:M$213)</f>
        <v/>
      </c>
      <c r="S213" s="24">
        <f>IF(Q213&gt;=요약!$C$5,"대량매수",IF(Q213&lt;=-요약!$C$5,"대량매도",""))</f>
        <v/>
      </c>
    </row>
  </sheetData>
  <autoFilter ref="A3:S213"/>
  <conditionalFormatting sqref="C4:C213">
    <cfRule type="expression" priority="1" dxfId="0">
      <formula>$P4="대량매수"</formula>
    </cfRule>
    <cfRule type="expression" priority="3" dxfId="1">
      <formula>$P4="대량매도"</formula>
    </cfRule>
  </conditionalFormatting>
  <conditionalFormatting sqref="P4:P213">
    <cfRule type="expression" priority="2" dxfId="0">
      <formula>P4="대량매수"</formula>
    </cfRule>
    <cfRule type="expression" priority="4" dxfId="1">
      <formula>P4="대량매도"</formula>
    </cfRule>
  </conditionalFormatting>
  <conditionalFormatting sqref="D4:D213">
    <cfRule type="expression" priority="5" dxfId="0">
      <formula>$S4="대량매수"</formula>
    </cfRule>
    <cfRule type="expression" priority="7" dxfId="1">
      <formula>$S4="대량매도"</formula>
    </cfRule>
  </conditionalFormatting>
  <conditionalFormatting sqref="S4:S213">
    <cfRule type="expression" priority="6" dxfId="0">
      <formula>S4="대량매수"</formula>
    </cfRule>
    <cfRule type="expression" priority="8" dxfId="1">
      <formula>S4="대량매도"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1" customWidth="1" min="13" max="13"/>
    <col width="11" customWidth="1" min="14" max="14"/>
    <col width="13" customWidth="1" min="15" max="15"/>
    <col width="11" customWidth="1" min="16" max="16"/>
    <col width="11" customWidth="1" min="17" max="17"/>
    <col width="13" customWidth="1" min="18" max="18"/>
    <col width="11" customWidth="1" min="19" max="19"/>
  </cols>
  <sheetData>
    <row r="1">
      <c r="A1" s="1" t="inlineStr">
        <is>
          <t>코스닥 투자자별 일별 순매수 (단위: 억원)</t>
        </is>
      </c>
    </row>
    <row r="2">
      <c r="A2" s="2" t="inlineStr">
        <is>
          <t>파란 글씨 = 원본 시트 값(입력), 검정 = 수식. 기타법인은 2026-08-20 이후 평소의 약 30배로 급증(원인 미확인). 대량 판정 임계값은 '요약' 시트 C5에서 변경.</t>
        </is>
      </c>
    </row>
    <row r="3" ht="30" customHeight="1">
      <c r="A3" s="18" t="inlineStr">
        <is>
          <t>날짜</t>
        </is>
      </c>
      <c r="B3" s="18" t="inlineStr">
        <is>
          <t>개인</t>
        </is>
      </c>
      <c r="C3" s="18" t="inlineStr">
        <is>
          <t>외국인</t>
        </is>
      </c>
      <c r="D3" s="18" t="inlineStr">
        <is>
          <t>기관계</t>
        </is>
      </c>
      <c r="E3" s="18" t="inlineStr">
        <is>
          <t>금융투자</t>
        </is>
      </c>
      <c r="F3" s="18" t="inlineStr">
        <is>
          <t>보험</t>
        </is>
      </c>
      <c r="G3" s="18" t="inlineStr">
        <is>
          <t>투신(사모)</t>
        </is>
      </c>
      <c r="H3" s="18" t="inlineStr">
        <is>
          <t>은행</t>
        </is>
      </c>
      <c r="I3" s="18" t="inlineStr">
        <is>
          <t>기타금융기관</t>
        </is>
      </c>
      <c r="J3" s="18" t="inlineStr">
        <is>
          <t>연기금등</t>
        </is>
      </c>
      <c r="K3" s="18" t="inlineStr">
        <is>
          <t>기타법인</t>
        </is>
      </c>
      <c r="L3" s="18" t="inlineStr">
        <is>
          <t>외국인 |값|</t>
        </is>
      </c>
      <c r="M3" s="18" t="inlineStr">
        <is>
          <t>기관계 |값|</t>
        </is>
      </c>
      <c r="N3" s="18" t="inlineStr">
        <is>
          <t>외국인 z점수</t>
        </is>
      </c>
      <c r="O3" s="18" t="inlineStr">
        <is>
          <t>외국인 평소대비(배)</t>
        </is>
      </c>
      <c r="P3" s="18" t="inlineStr">
        <is>
          <t>외국인 구분</t>
        </is>
      </c>
      <c r="Q3" s="18" t="inlineStr">
        <is>
          <t>기관계 z점수</t>
        </is>
      </c>
      <c r="R3" s="18" t="inlineStr">
        <is>
          <t>기관계 평소대비(배)</t>
        </is>
      </c>
      <c r="S3" s="18" t="inlineStr">
        <is>
          <t>기관계 구분</t>
        </is>
      </c>
    </row>
    <row r="4">
      <c r="A4" s="19" t="n">
        <v>46297</v>
      </c>
      <c r="B4" s="20" t="n">
        <v>822</v>
      </c>
      <c r="C4" s="20" t="n">
        <v>-1743</v>
      </c>
      <c r="D4" s="20" t="n">
        <v>939</v>
      </c>
      <c r="E4" s="20" t="n">
        <v>870</v>
      </c>
      <c r="F4" s="20" t="n">
        <v>34</v>
      </c>
      <c r="G4" s="20" t="n">
        <v>23</v>
      </c>
      <c r="H4" s="20" t="n">
        <v>-27</v>
      </c>
      <c r="I4" s="20" t="n">
        <v>-4</v>
      </c>
      <c r="J4" s="20" t="n">
        <v>43</v>
      </c>
      <c r="K4" s="20" t="n">
        <v>-18</v>
      </c>
      <c r="L4" s="21">
        <f>ABS(C4)</f>
        <v/>
      </c>
      <c r="M4" s="21">
        <f>ABS(D4)</f>
        <v/>
      </c>
      <c r="N4" s="22">
        <f>(C4-AVERAGE(C$4:C$213))/STDEVP(C$4:C$213)</f>
        <v/>
      </c>
      <c r="O4" s="23">
        <f>L4/MEDIAN(L$4:L$213)</f>
        <v/>
      </c>
      <c r="P4" s="24">
        <f>IF(N4&gt;=요약!$C$5,"대량매수",IF(N4&lt;=-요약!$C$5,"대량매도",""))</f>
        <v/>
      </c>
      <c r="Q4" s="22">
        <f>(D4-AVERAGE(D$4:D$213))/STDEVP(D$4:D$213)</f>
        <v/>
      </c>
      <c r="R4" s="23">
        <f>M4/MEDIAN(M$4:M$213)</f>
        <v/>
      </c>
      <c r="S4" s="24">
        <f>IF(Q4&gt;=요약!$C$5,"대량매수",IF(Q4&lt;=-요약!$C$5,"대량매도",""))</f>
        <v/>
      </c>
    </row>
    <row r="5">
      <c r="A5" s="19" t="n">
        <v>46296</v>
      </c>
      <c r="B5" s="20" t="n">
        <v>-7770</v>
      </c>
      <c r="C5" s="20" t="n">
        <v>2280</v>
      </c>
      <c r="D5" s="20" t="n">
        <v>5684</v>
      </c>
      <c r="E5" s="20" t="n">
        <v>3249</v>
      </c>
      <c r="F5" s="20" t="n">
        <v>175</v>
      </c>
      <c r="G5" s="20" t="n">
        <v>2154</v>
      </c>
      <c r="H5" s="20" t="n">
        <v>-86</v>
      </c>
      <c r="I5" s="20" t="n">
        <v>-538</v>
      </c>
      <c r="J5" s="20" t="n">
        <v>731</v>
      </c>
      <c r="K5" s="20" t="n">
        <v>-195</v>
      </c>
      <c r="L5" s="21">
        <f>ABS(C5)</f>
        <v/>
      </c>
      <c r="M5" s="21">
        <f>ABS(D5)</f>
        <v/>
      </c>
      <c r="N5" s="22">
        <f>(C5-AVERAGE(C$4:C$213))/STDEVP(C$4:C$213)</f>
        <v/>
      </c>
      <c r="O5" s="23">
        <f>L5/MEDIAN(L$4:L$213)</f>
        <v/>
      </c>
      <c r="P5" s="24">
        <f>IF(N5&gt;=요약!$C$5,"대량매수",IF(N5&lt;=-요약!$C$5,"대량매도",""))</f>
        <v/>
      </c>
      <c r="Q5" s="22">
        <f>(D5-AVERAGE(D$4:D$213))/STDEVP(D$4:D$213)</f>
        <v/>
      </c>
      <c r="R5" s="23">
        <f>M5/MEDIAN(M$4:M$213)</f>
        <v/>
      </c>
      <c r="S5" s="24">
        <f>IF(Q5&gt;=요약!$C$5,"대량매수",IF(Q5&lt;=-요약!$C$5,"대량매도",""))</f>
        <v/>
      </c>
    </row>
    <row r="6">
      <c r="A6" s="19" t="n">
        <v>46295</v>
      </c>
      <c r="B6" s="20" t="n">
        <v>188</v>
      </c>
      <c r="C6" s="20" t="n">
        <v>-713</v>
      </c>
      <c r="D6" s="20" t="n">
        <v>482</v>
      </c>
      <c r="E6" s="20" t="n">
        <v>-98</v>
      </c>
      <c r="F6" s="20" t="n">
        <v>58</v>
      </c>
      <c r="G6" s="20" t="n">
        <v>530</v>
      </c>
      <c r="H6" s="20" t="n">
        <v>-61</v>
      </c>
      <c r="I6" s="20" t="n">
        <v>-61</v>
      </c>
      <c r="J6" s="20" t="n">
        <v>115</v>
      </c>
      <c r="K6" s="20" t="n">
        <v>43</v>
      </c>
      <c r="L6" s="21">
        <f>ABS(C6)</f>
        <v/>
      </c>
      <c r="M6" s="21">
        <f>ABS(D6)</f>
        <v/>
      </c>
      <c r="N6" s="22">
        <f>(C6-AVERAGE(C$4:C$213))/STDEVP(C$4:C$213)</f>
        <v/>
      </c>
      <c r="O6" s="23">
        <f>L6/MEDIAN(L$4:L$213)</f>
        <v/>
      </c>
      <c r="P6" s="24">
        <f>IF(N6&gt;=요약!$C$5,"대량매수",IF(N6&lt;=-요약!$C$5,"대량매도",""))</f>
        <v/>
      </c>
      <c r="Q6" s="22">
        <f>(D6-AVERAGE(D$4:D$213))/STDEVP(D$4:D$213)</f>
        <v/>
      </c>
      <c r="R6" s="23">
        <f>M6/MEDIAN(M$4:M$213)</f>
        <v/>
      </c>
      <c r="S6" s="24">
        <f>IF(Q6&gt;=요약!$C$5,"대량매수",IF(Q6&lt;=-요약!$C$5,"대량매도",""))</f>
        <v/>
      </c>
    </row>
    <row r="7">
      <c r="A7" s="19" t="n">
        <v>46294</v>
      </c>
      <c r="B7" s="20" t="n">
        <v>1469</v>
      </c>
      <c r="C7" s="20" t="n">
        <v>-1305</v>
      </c>
      <c r="D7" s="20" t="n">
        <v>66</v>
      </c>
      <c r="E7" s="20" t="n">
        <v>-595</v>
      </c>
      <c r="F7" s="20" t="n">
        <v>41</v>
      </c>
      <c r="G7" s="20" t="n">
        <v>200</v>
      </c>
      <c r="H7" s="20" t="n">
        <v>-98</v>
      </c>
      <c r="I7" s="20" t="n">
        <v>-68</v>
      </c>
      <c r="J7" s="20" t="n">
        <v>587</v>
      </c>
      <c r="K7" s="20" t="n">
        <v>-230</v>
      </c>
      <c r="L7" s="21">
        <f>ABS(C7)</f>
        <v/>
      </c>
      <c r="M7" s="21">
        <f>ABS(D7)</f>
        <v/>
      </c>
      <c r="N7" s="22">
        <f>(C7-AVERAGE(C$4:C$213))/STDEVP(C$4:C$213)</f>
        <v/>
      </c>
      <c r="O7" s="23">
        <f>L7/MEDIAN(L$4:L$213)</f>
        <v/>
      </c>
      <c r="P7" s="24">
        <f>IF(N7&gt;=요약!$C$5,"대량매수",IF(N7&lt;=-요약!$C$5,"대량매도",""))</f>
        <v/>
      </c>
      <c r="Q7" s="22">
        <f>(D7-AVERAGE(D$4:D$213))/STDEVP(D$4:D$213)</f>
        <v/>
      </c>
      <c r="R7" s="23">
        <f>M7/MEDIAN(M$4:M$213)</f>
        <v/>
      </c>
      <c r="S7" s="24">
        <f>IF(Q7&gt;=요약!$C$5,"대량매수",IF(Q7&lt;=-요약!$C$5,"대량매도",""))</f>
        <v/>
      </c>
    </row>
    <row r="8">
      <c r="A8" s="19" t="n">
        <v>46293</v>
      </c>
      <c r="B8" s="20" t="n">
        <v>223</v>
      </c>
      <c r="C8" s="20" t="n">
        <v>469</v>
      </c>
      <c r="D8" s="20" t="n">
        <v>-747</v>
      </c>
      <c r="E8" s="20" t="n">
        <v>-740</v>
      </c>
      <c r="F8" s="20" t="n">
        <v>-22</v>
      </c>
      <c r="G8" s="20" t="n">
        <v>26</v>
      </c>
      <c r="H8" s="20" t="n">
        <v>-20</v>
      </c>
      <c r="I8" s="20" t="n">
        <v>-12</v>
      </c>
      <c r="J8" s="20" t="n">
        <v>21</v>
      </c>
      <c r="K8" s="20" t="n">
        <v>56</v>
      </c>
      <c r="L8" s="21">
        <f>ABS(C8)</f>
        <v/>
      </c>
      <c r="M8" s="21">
        <f>ABS(D8)</f>
        <v/>
      </c>
      <c r="N8" s="22">
        <f>(C8-AVERAGE(C$4:C$213))/STDEVP(C$4:C$213)</f>
        <v/>
      </c>
      <c r="O8" s="23">
        <f>L8/MEDIAN(L$4:L$213)</f>
        <v/>
      </c>
      <c r="P8" s="24">
        <f>IF(N8&gt;=요약!$C$5,"대량매수",IF(N8&lt;=-요약!$C$5,"대량매도",""))</f>
        <v/>
      </c>
      <c r="Q8" s="22">
        <f>(D8-AVERAGE(D$4:D$213))/STDEVP(D$4:D$213)</f>
        <v/>
      </c>
      <c r="R8" s="23">
        <f>M8/MEDIAN(M$4:M$213)</f>
        <v/>
      </c>
      <c r="S8" s="24">
        <f>IF(Q8&gt;=요약!$C$5,"대량매수",IF(Q8&lt;=-요약!$C$5,"대량매도",""))</f>
        <v/>
      </c>
    </row>
    <row r="9">
      <c r="A9" s="19" t="n">
        <v>46288</v>
      </c>
      <c r="B9" s="20" t="n">
        <v>275</v>
      </c>
      <c r="C9" s="20" t="n">
        <v>-462</v>
      </c>
      <c r="D9" s="20" t="n">
        <v>76</v>
      </c>
      <c r="E9" s="20" t="n">
        <v>-668</v>
      </c>
      <c r="F9" s="20" t="n">
        <v>44</v>
      </c>
      <c r="G9" s="20" t="n">
        <v>674</v>
      </c>
      <c r="H9" s="20" t="n">
        <v>-42</v>
      </c>
      <c r="I9" s="20" t="n">
        <v>-31</v>
      </c>
      <c r="J9" s="20" t="n">
        <v>99</v>
      </c>
      <c r="K9" s="20" t="n">
        <v>111</v>
      </c>
      <c r="L9" s="21">
        <f>ABS(C9)</f>
        <v/>
      </c>
      <c r="M9" s="21">
        <f>ABS(D9)</f>
        <v/>
      </c>
      <c r="N9" s="22">
        <f>(C9-AVERAGE(C$4:C$213))/STDEVP(C$4:C$213)</f>
        <v/>
      </c>
      <c r="O9" s="23">
        <f>L9/MEDIAN(L$4:L$213)</f>
        <v/>
      </c>
      <c r="P9" s="24">
        <f>IF(N9&gt;=요약!$C$5,"대량매수",IF(N9&lt;=-요약!$C$5,"대량매도",""))</f>
        <v/>
      </c>
      <c r="Q9" s="22">
        <f>(D9-AVERAGE(D$4:D$213))/STDEVP(D$4:D$213)</f>
        <v/>
      </c>
      <c r="R9" s="23">
        <f>M9/MEDIAN(M$4:M$213)</f>
        <v/>
      </c>
      <c r="S9" s="24">
        <f>IF(Q9&gt;=요약!$C$5,"대량매수",IF(Q9&lt;=-요약!$C$5,"대량매도",""))</f>
        <v/>
      </c>
    </row>
    <row r="10">
      <c r="A10" s="19" t="n">
        <v>46287</v>
      </c>
      <c r="B10" s="20" t="n">
        <v>1548</v>
      </c>
      <c r="C10" s="20" t="n">
        <v>-545</v>
      </c>
      <c r="D10" s="20" t="n">
        <v>-953</v>
      </c>
      <c r="E10" s="20" t="n">
        <v>-485</v>
      </c>
      <c r="F10" s="20" t="n">
        <v>75</v>
      </c>
      <c r="G10" s="20" t="n">
        <v>-650</v>
      </c>
      <c r="H10" s="20" t="n">
        <v>-124</v>
      </c>
      <c r="I10" s="20" t="n">
        <v>-21</v>
      </c>
      <c r="J10" s="20" t="n">
        <v>251</v>
      </c>
      <c r="K10" s="20" t="n">
        <v>-50</v>
      </c>
      <c r="L10" s="21">
        <f>ABS(C10)</f>
        <v/>
      </c>
      <c r="M10" s="21">
        <f>ABS(D10)</f>
        <v/>
      </c>
      <c r="N10" s="22">
        <f>(C10-AVERAGE(C$4:C$213))/STDEVP(C$4:C$213)</f>
        <v/>
      </c>
      <c r="O10" s="23">
        <f>L10/MEDIAN(L$4:L$213)</f>
        <v/>
      </c>
      <c r="P10" s="24">
        <f>IF(N10&gt;=요약!$C$5,"대량매수",IF(N10&lt;=-요약!$C$5,"대량매도",""))</f>
        <v/>
      </c>
      <c r="Q10" s="22">
        <f>(D10-AVERAGE(D$4:D$213))/STDEVP(D$4:D$213)</f>
        <v/>
      </c>
      <c r="R10" s="23">
        <f>M10/MEDIAN(M$4:M$213)</f>
        <v/>
      </c>
      <c r="S10" s="24">
        <f>IF(Q10&gt;=요약!$C$5,"대량매수",IF(Q10&lt;=-요약!$C$5,"대량매도",""))</f>
        <v/>
      </c>
    </row>
    <row r="11">
      <c r="A11" s="19" t="n">
        <v>46286</v>
      </c>
      <c r="B11" s="20" t="n">
        <v>1416</v>
      </c>
      <c r="C11" s="20" t="n">
        <v>-995</v>
      </c>
      <c r="D11" s="20" t="n">
        <v>-285</v>
      </c>
      <c r="E11" s="20" t="n">
        <v>-255</v>
      </c>
      <c r="F11" s="20" t="n">
        <v>-13</v>
      </c>
      <c r="G11" s="20" t="n">
        <v>102</v>
      </c>
      <c r="H11" s="20" t="n">
        <v>-4</v>
      </c>
      <c r="I11" s="20" t="n">
        <v>-108</v>
      </c>
      <c r="J11" s="20" t="n">
        <v>-6</v>
      </c>
      <c r="K11" s="20" t="n">
        <v>-136</v>
      </c>
      <c r="L11" s="21">
        <f>ABS(C11)</f>
        <v/>
      </c>
      <c r="M11" s="21">
        <f>ABS(D11)</f>
        <v/>
      </c>
      <c r="N11" s="22">
        <f>(C11-AVERAGE(C$4:C$213))/STDEVP(C$4:C$213)</f>
        <v/>
      </c>
      <c r="O11" s="23">
        <f>L11/MEDIAN(L$4:L$213)</f>
        <v/>
      </c>
      <c r="P11" s="24">
        <f>IF(N11&gt;=요약!$C$5,"대량매수",IF(N11&lt;=-요약!$C$5,"대량매도",""))</f>
        <v/>
      </c>
      <c r="Q11" s="22">
        <f>(D11-AVERAGE(D$4:D$213))/STDEVP(D$4:D$213)</f>
        <v/>
      </c>
      <c r="R11" s="23">
        <f>M11/MEDIAN(M$4:M$213)</f>
        <v/>
      </c>
      <c r="S11" s="24">
        <f>IF(Q11&gt;=요약!$C$5,"대량매수",IF(Q11&lt;=-요약!$C$5,"대량매도",""))</f>
        <v/>
      </c>
    </row>
    <row r="12">
      <c r="A12" s="19" t="n">
        <v>46283</v>
      </c>
      <c r="B12" s="20" t="n">
        <v>162</v>
      </c>
      <c r="C12" s="20" t="n">
        <v>-511</v>
      </c>
      <c r="D12" s="20" t="n">
        <v>250</v>
      </c>
      <c r="E12" s="20" t="n">
        <v>-173</v>
      </c>
      <c r="F12" s="20" t="n">
        <v>36</v>
      </c>
      <c r="G12" s="20" t="n">
        <v>288</v>
      </c>
      <c r="H12" s="20" t="n">
        <v>-12</v>
      </c>
      <c r="I12" s="20" t="n">
        <v>-2</v>
      </c>
      <c r="J12" s="20" t="n">
        <v>113</v>
      </c>
      <c r="K12" s="20" t="n">
        <v>99</v>
      </c>
      <c r="L12" s="21">
        <f>ABS(C12)</f>
        <v/>
      </c>
      <c r="M12" s="21">
        <f>ABS(D12)</f>
        <v/>
      </c>
      <c r="N12" s="22">
        <f>(C12-AVERAGE(C$4:C$213))/STDEVP(C$4:C$213)</f>
        <v/>
      </c>
      <c r="O12" s="23">
        <f>L12/MEDIAN(L$4:L$213)</f>
        <v/>
      </c>
      <c r="P12" s="24">
        <f>IF(N12&gt;=요약!$C$5,"대량매수",IF(N12&lt;=-요약!$C$5,"대량매도",""))</f>
        <v/>
      </c>
      <c r="Q12" s="22">
        <f>(D12-AVERAGE(D$4:D$213))/STDEVP(D$4:D$213)</f>
        <v/>
      </c>
      <c r="R12" s="23">
        <f>M12/MEDIAN(M$4:M$213)</f>
        <v/>
      </c>
      <c r="S12" s="24">
        <f>IF(Q12&gt;=요약!$C$5,"대량매수",IF(Q12&lt;=-요약!$C$5,"대량매도",""))</f>
        <v/>
      </c>
    </row>
    <row r="13">
      <c r="A13" s="19" t="n">
        <v>46282</v>
      </c>
      <c r="B13" s="20" t="n">
        <v>-250</v>
      </c>
      <c r="C13" s="20" t="n">
        <v>-329</v>
      </c>
      <c r="D13" s="20" t="n">
        <v>455</v>
      </c>
      <c r="E13" s="20" t="n">
        <v>178</v>
      </c>
      <c r="F13" s="20" t="n">
        <v>8</v>
      </c>
      <c r="G13" s="20" t="n">
        <v>325</v>
      </c>
      <c r="H13" s="20" t="n">
        <v>-35</v>
      </c>
      <c r="I13" s="20" t="n">
        <v>2</v>
      </c>
      <c r="J13" s="20" t="n">
        <v>-23</v>
      </c>
      <c r="K13" s="20" t="n">
        <v>125</v>
      </c>
      <c r="L13" s="21">
        <f>ABS(C13)</f>
        <v/>
      </c>
      <c r="M13" s="21">
        <f>ABS(D13)</f>
        <v/>
      </c>
      <c r="N13" s="22">
        <f>(C13-AVERAGE(C$4:C$213))/STDEVP(C$4:C$213)</f>
        <v/>
      </c>
      <c r="O13" s="23">
        <f>L13/MEDIAN(L$4:L$213)</f>
        <v/>
      </c>
      <c r="P13" s="24">
        <f>IF(N13&gt;=요약!$C$5,"대량매수",IF(N13&lt;=-요약!$C$5,"대량매도",""))</f>
        <v/>
      </c>
      <c r="Q13" s="22">
        <f>(D13-AVERAGE(D$4:D$213))/STDEVP(D$4:D$213)</f>
        <v/>
      </c>
      <c r="R13" s="23">
        <f>M13/MEDIAN(M$4:M$213)</f>
        <v/>
      </c>
      <c r="S13" s="24">
        <f>IF(Q13&gt;=요약!$C$5,"대량매수",IF(Q13&lt;=-요약!$C$5,"대량매도",""))</f>
        <v/>
      </c>
    </row>
    <row r="14">
      <c r="A14" s="19" t="n">
        <v>46281</v>
      </c>
      <c r="B14" s="20" t="n">
        <v>62</v>
      </c>
      <c r="C14" s="20" t="n">
        <v>-272</v>
      </c>
      <c r="D14" s="20" t="n">
        <v>222</v>
      </c>
      <c r="E14" s="20" t="n">
        <v>156</v>
      </c>
      <c r="F14" s="20" t="n">
        <v>16</v>
      </c>
      <c r="G14" s="20" t="n">
        <v>83</v>
      </c>
      <c r="H14" s="20" t="n">
        <v>-15</v>
      </c>
      <c r="I14" s="20" t="n">
        <v>-3</v>
      </c>
      <c r="J14" s="20" t="n">
        <v>-15</v>
      </c>
      <c r="K14" s="20" t="n">
        <v>-12</v>
      </c>
      <c r="L14" s="21">
        <f>ABS(C14)</f>
        <v/>
      </c>
      <c r="M14" s="21">
        <f>ABS(D14)</f>
        <v/>
      </c>
      <c r="N14" s="22">
        <f>(C14-AVERAGE(C$4:C$213))/STDEVP(C$4:C$213)</f>
        <v/>
      </c>
      <c r="O14" s="23">
        <f>L14/MEDIAN(L$4:L$213)</f>
        <v/>
      </c>
      <c r="P14" s="24">
        <f>IF(N14&gt;=요약!$C$5,"대량매수",IF(N14&lt;=-요약!$C$5,"대량매도",""))</f>
        <v/>
      </c>
      <c r="Q14" s="22">
        <f>(D14-AVERAGE(D$4:D$213))/STDEVP(D$4:D$213)</f>
        <v/>
      </c>
      <c r="R14" s="23">
        <f>M14/MEDIAN(M$4:M$213)</f>
        <v/>
      </c>
      <c r="S14" s="24">
        <f>IF(Q14&gt;=요약!$C$5,"대량매수",IF(Q14&lt;=-요약!$C$5,"대량매도",""))</f>
        <v/>
      </c>
    </row>
    <row r="15">
      <c r="A15" s="19" t="n">
        <v>46280</v>
      </c>
      <c r="B15" s="20" t="n">
        <v>-1478</v>
      </c>
      <c r="C15" s="20" t="n">
        <v>272</v>
      </c>
      <c r="D15" s="20" t="n">
        <v>1149</v>
      </c>
      <c r="E15" s="20" t="n">
        <v>625</v>
      </c>
      <c r="F15" s="20" t="n">
        <v>14</v>
      </c>
      <c r="G15" s="20" t="n">
        <v>401</v>
      </c>
      <c r="H15" s="20" t="n">
        <v>-27</v>
      </c>
      <c r="I15" s="20" t="n">
        <v>69</v>
      </c>
      <c r="J15" s="20" t="n">
        <v>68</v>
      </c>
      <c r="K15" s="20" t="n">
        <v>58</v>
      </c>
      <c r="L15" s="21">
        <f>ABS(C15)</f>
        <v/>
      </c>
      <c r="M15" s="21">
        <f>ABS(D15)</f>
        <v/>
      </c>
      <c r="N15" s="22">
        <f>(C15-AVERAGE(C$4:C$213))/STDEVP(C$4:C$213)</f>
        <v/>
      </c>
      <c r="O15" s="23">
        <f>L15/MEDIAN(L$4:L$213)</f>
        <v/>
      </c>
      <c r="P15" s="24">
        <f>IF(N15&gt;=요약!$C$5,"대량매수",IF(N15&lt;=-요약!$C$5,"대량매도",""))</f>
        <v/>
      </c>
      <c r="Q15" s="22">
        <f>(D15-AVERAGE(D$4:D$213))/STDEVP(D$4:D$213)</f>
        <v/>
      </c>
      <c r="R15" s="23">
        <f>M15/MEDIAN(M$4:M$213)</f>
        <v/>
      </c>
      <c r="S15" s="24">
        <f>IF(Q15&gt;=요약!$C$5,"대량매수",IF(Q15&lt;=-요약!$C$5,"대량매도",""))</f>
        <v/>
      </c>
    </row>
    <row r="16">
      <c r="A16" s="19" t="n">
        <v>46279</v>
      </c>
      <c r="B16" s="20" t="n">
        <v>1029</v>
      </c>
      <c r="C16" s="20" t="n">
        <v>-923</v>
      </c>
      <c r="D16" s="20" t="n">
        <v>-238</v>
      </c>
      <c r="E16" s="20" t="n">
        <v>-729</v>
      </c>
      <c r="F16" s="20" t="n">
        <v>-10</v>
      </c>
      <c r="G16" s="20" t="n">
        <v>313</v>
      </c>
      <c r="H16" s="20" t="n">
        <v>-4</v>
      </c>
      <c r="I16" s="20" t="n">
        <v>8</v>
      </c>
      <c r="J16" s="20" t="n">
        <v>184</v>
      </c>
      <c r="K16" s="20" t="n">
        <v>132</v>
      </c>
      <c r="L16" s="21">
        <f>ABS(C16)</f>
        <v/>
      </c>
      <c r="M16" s="21">
        <f>ABS(D16)</f>
        <v/>
      </c>
      <c r="N16" s="22">
        <f>(C16-AVERAGE(C$4:C$213))/STDEVP(C$4:C$213)</f>
        <v/>
      </c>
      <c r="O16" s="23">
        <f>L16/MEDIAN(L$4:L$213)</f>
        <v/>
      </c>
      <c r="P16" s="24">
        <f>IF(N16&gt;=요약!$C$5,"대량매수",IF(N16&lt;=-요약!$C$5,"대량매도",""))</f>
        <v/>
      </c>
      <c r="Q16" s="22">
        <f>(D16-AVERAGE(D$4:D$213))/STDEVP(D$4:D$213)</f>
        <v/>
      </c>
      <c r="R16" s="23">
        <f>M16/MEDIAN(M$4:M$213)</f>
        <v/>
      </c>
      <c r="S16" s="24">
        <f>IF(Q16&gt;=요약!$C$5,"대량매수",IF(Q16&lt;=-요약!$C$5,"대량매도",""))</f>
        <v/>
      </c>
    </row>
    <row r="17">
      <c r="A17" s="19" t="n">
        <v>46276</v>
      </c>
      <c r="B17" s="20" t="n">
        <v>5120</v>
      </c>
      <c r="C17" s="20" t="n">
        <v>-3123</v>
      </c>
      <c r="D17" s="20" t="n">
        <v>-2159</v>
      </c>
      <c r="E17" s="20" t="n">
        <v>-867</v>
      </c>
      <c r="F17" s="20" t="n">
        <v>-44</v>
      </c>
      <c r="G17" s="20" t="n">
        <v>-1334</v>
      </c>
      <c r="H17" s="20" t="n">
        <v>-8</v>
      </c>
      <c r="I17" s="20" t="n">
        <v>2</v>
      </c>
      <c r="J17" s="20" t="n">
        <v>92</v>
      </c>
      <c r="K17" s="20" t="n">
        <v>161</v>
      </c>
      <c r="L17" s="21">
        <f>ABS(C17)</f>
        <v/>
      </c>
      <c r="M17" s="21">
        <f>ABS(D17)</f>
        <v/>
      </c>
      <c r="N17" s="22">
        <f>(C17-AVERAGE(C$4:C$213))/STDEVP(C$4:C$213)</f>
        <v/>
      </c>
      <c r="O17" s="23">
        <f>L17/MEDIAN(L$4:L$213)</f>
        <v/>
      </c>
      <c r="P17" s="24">
        <f>IF(N17&gt;=요약!$C$5,"대량매수",IF(N17&lt;=-요약!$C$5,"대량매도",""))</f>
        <v/>
      </c>
      <c r="Q17" s="22">
        <f>(D17-AVERAGE(D$4:D$213))/STDEVP(D$4:D$213)</f>
        <v/>
      </c>
      <c r="R17" s="23">
        <f>M17/MEDIAN(M$4:M$213)</f>
        <v/>
      </c>
      <c r="S17" s="24">
        <f>IF(Q17&gt;=요약!$C$5,"대량매수",IF(Q17&lt;=-요약!$C$5,"대량매도",""))</f>
        <v/>
      </c>
    </row>
    <row r="18">
      <c r="A18" s="19" t="n">
        <v>46275</v>
      </c>
      <c r="B18" s="20" t="n">
        <v>-2698</v>
      </c>
      <c r="C18" s="20" t="n">
        <v>-11253</v>
      </c>
      <c r="D18" s="20" t="n">
        <v>13996</v>
      </c>
      <c r="E18" s="20" t="n">
        <v>1340</v>
      </c>
      <c r="F18" s="20" t="n">
        <v>-96</v>
      </c>
      <c r="G18" s="20" t="n">
        <v>12724</v>
      </c>
      <c r="H18" s="20" t="n">
        <v>-21</v>
      </c>
      <c r="I18" s="20" t="n">
        <v>-29</v>
      </c>
      <c r="J18" s="20" t="n">
        <v>79</v>
      </c>
      <c r="K18" s="20" t="n">
        <v>-44</v>
      </c>
      <c r="L18" s="21">
        <f>ABS(C18)</f>
        <v/>
      </c>
      <c r="M18" s="21">
        <f>ABS(D18)</f>
        <v/>
      </c>
      <c r="N18" s="22">
        <f>(C18-AVERAGE(C$4:C$213))/STDEVP(C$4:C$213)</f>
        <v/>
      </c>
      <c r="O18" s="23">
        <f>L18/MEDIAN(L$4:L$213)</f>
        <v/>
      </c>
      <c r="P18" s="24">
        <f>IF(N18&gt;=요약!$C$5,"대량매수",IF(N18&lt;=-요약!$C$5,"대량매도",""))</f>
        <v/>
      </c>
      <c r="Q18" s="22">
        <f>(D18-AVERAGE(D$4:D$213))/STDEVP(D$4:D$213)</f>
        <v/>
      </c>
      <c r="R18" s="23">
        <f>M18/MEDIAN(M$4:M$213)</f>
        <v/>
      </c>
      <c r="S18" s="24">
        <f>IF(Q18&gt;=요약!$C$5,"대량매수",IF(Q18&lt;=-요약!$C$5,"대량매도",""))</f>
        <v/>
      </c>
    </row>
    <row r="19">
      <c r="A19" s="19" t="n">
        <v>46274</v>
      </c>
      <c r="B19" s="20" t="n">
        <v>-2548</v>
      </c>
      <c r="C19" s="20" t="n">
        <v>2646</v>
      </c>
      <c r="D19" s="20" t="n">
        <v>-190</v>
      </c>
      <c r="E19" s="20" t="n">
        <v>192</v>
      </c>
      <c r="F19" s="20" t="n">
        <v>-12</v>
      </c>
      <c r="G19" s="20" t="n">
        <v>-317</v>
      </c>
      <c r="H19" s="20" t="n">
        <v>-39</v>
      </c>
      <c r="I19" s="20" t="n">
        <v>-71</v>
      </c>
      <c r="J19" s="20" t="n">
        <v>56</v>
      </c>
      <c r="K19" s="20" t="n">
        <v>92</v>
      </c>
      <c r="L19" s="21">
        <f>ABS(C19)</f>
        <v/>
      </c>
      <c r="M19" s="21">
        <f>ABS(D19)</f>
        <v/>
      </c>
      <c r="N19" s="22">
        <f>(C19-AVERAGE(C$4:C$213))/STDEVP(C$4:C$213)</f>
        <v/>
      </c>
      <c r="O19" s="23">
        <f>L19/MEDIAN(L$4:L$213)</f>
        <v/>
      </c>
      <c r="P19" s="24">
        <f>IF(N19&gt;=요약!$C$5,"대량매수",IF(N19&lt;=-요약!$C$5,"대량매도",""))</f>
        <v/>
      </c>
      <c r="Q19" s="22">
        <f>(D19-AVERAGE(D$4:D$213))/STDEVP(D$4:D$213)</f>
        <v/>
      </c>
      <c r="R19" s="23">
        <f>M19/MEDIAN(M$4:M$213)</f>
        <v/>
      </c>
      <c r="S19" s="24">
        <f>IF(Q19&gt;=요약!$C$5,"대량매수",IF(Q19&lt;=-요약!$C$5,"대량매도",""))</f>
        <v/>
      </c>
    </row>
    <row r="20">
      <c r="A20" s="19" t="n">
        <v>46273</v>
      </c>
      <c r="B20" s="20" t="n">
        <v>479</v>
      </c>
      <c r="C20" s="20" t="n">
        <v>1583</v>
      </c>
      <c r="D20" s="20" t="n">
        <v>-2135</v>
      </c>
      <c r="E20" s="20" t="n">
        <v>-779</v>
      </c>
      <c r="F20" s="20" t="n">
        <v>-51</v>
      </c>
      <c r="G20" s="20" t="n">
        <v>-1287</v>
      </c>
      <c r="H20" s="20" t="n">
        <v>-81</v>
      </c>
      <c r="I20" s="20" t="n">
        <v>-35</v>
      </c>
      <c r="J20" s="20" t="n">
        <v>98</v>
      </c>
      <c r="K20" s="20" t="n">
        <v>72</v>
      </c>
      <c r="L20" s="21">
        <f>ABS(C20)</f>
        <v/>
      </c>
      <c r="M20" s="21">
        <f>ABS(D20)</f>
        <v/>
      </c>
      <c r="N20" s="22">
        <f>(C20-AVERAGE(C$4:C$213))/STDEVP(C$4:C$213)</f>
        <v/>
      </c>
      <c r="O20" s="23">
        <f>L20/MEDIAN(L$4:L$213)</f>
        <v/>
      </c>
      <c r="P20" s="24">
        <f>IF(N20&gt;=요약!$C$5,"대량매수",IF(N20&lt;=-요약!$C$5,"대량매도",""))</f>
        <v/>
      </c>
      <c r="Q20" s="22">
        <f>(D20-AVERAGE(D$4:D$213))/STDEVP(D$4:D$213)</f>
        <v/>
      </c>
      <c r="R20" s="23">
        <f>M20/MEDIAN(M$4:M$213)</f>
        <v/>
      </c>
      <c r="S20" s="24">
        <f>IF(Q20&gt;=요약!$C$5,"대량매수",IF(Q20&lt;=-요약!$C$5,"대량매도",""))</f>
        <v/>
      </c>
    </row>
    <row r="21">
      <c r="A21" s="19" t="n">
        <v>46272</v>
      </c>
      <c r="B21" s="20" t="n">
        <v>1896</v>
      </c>
      <c r="C21" s="20" t="n">
        <v>-717</v>
      </c>
      <c r="D21" s="20" t="n">
        <v>-1292</v>
      </c>
      <c r="E21" s="20" t="n">
        <v>-938</v>
      </c>
      <c r="F21" s="20" t="n">
        <v>-3</v>
      </c>
      <c r="G21" s="20" t="n">
        <v>-159</v>
      </c>
      <c r="H21" s="20" t="n">
        <v>-14</v>
      </c>
      <c r="I21" s="20" t="n">
        <v>-133</v>
      </c>
      <c r="J21" s="20" t="n">
        <v>-45</v>
      </c>
      <c r="K21" s="20" t="n">
        <v>114</v>
      </c>
      <c r="L21" s="21">
        <f>ABS(C21)</f>
        <v/>
      </c>
      <c r="M21" s="21">
        <f>ABS(D21)</f>
        <v/>
      </c>
      <c r="N21" s="22">
        <f>(C21-AVERAGE(C$4:C$213))/STDEVP(C$4:C$213)</f>
        <v/>
      </c>
      <c r="O21" s="23">
        <f>L21/MEDIAN(L$4:L$213)</f>
        <v/>
      </c>
      <c r="P21" s="24">
        <f>IF(N21&gt;=요약!$C$5,"대량매수",IF(N21&lt;=-요약!$C$5,"대량매도",""))</f>
        <v/>
      </c>
      <c r="Q21" s="22">
        <f>(D21-AVERAGE(D$4:D$213))/STDEVP(D$4:D$213)</f>
        <v/>
      </c>
      <c r="R21" s="23">
        <f>M21/MEDIAN(M$4:M$213)</f>
        <v/>
      </c>
      <c r="S21" s="24">
        <f>IF(Q21&gt;=요약!$C$5,"대량매수",IF(Q21&lt;=-요약!$C$5,"대량매도",""))</f>
        <v/>
      </c>
    </row>
    <row r="22">
      <c r="A22" s="19" t="n">
        <v>46269</v>
      </c>
      <c r="B22" s="20" t="n">
        <v>-4125</v>
      </c>
      <c r="C22" s="20" t="n">
        <v>2599</v>
      </c>
      <c r="D22" s="20" t="n">
        <v>1609</v>
      </c>
      <c r="E22" s="20" t="n">
        <v>173</v>
      </c>
      <c r="F22" s="20" t="n">
        <v>14</v>
      </c>
      <c r="G22" s="20" t="n">
        <v>1295</v>
      </c>
      <c r="H22" s="20" t="n">
        <v>6</v>
      </c>
      <c r="I22" s="20" t="n">
        <v>-61</v>
      </c>
      <c r="J22" s="20" t="n">
        <v>183</v>
      </c>
      <c r="K22" s="20" t="n">
        <v>-83</v>
      </c>
      <c r="L22" s="21">
        <f>ABS(C22)</f>
        <v/>
      </c>
      <c r="M22" s="21">
        <f>ABS(D22)</f>
        <v/>
      </c>
      <c r="N22" s="22">
        <f>(C22-AVERAGE(C$4:C$213))/STDEVP(C$4:C$213)</f>
        <v/>
      </c>
      <c r="O22" s="23">
        <f>L22/MEDIAN(L$4:L$213)</f>
        <v/>
      </c>
      <c r="P22" s="24">
        <f>IF(N22&gt;=요약!$C$5,"대량매수",IF(N22&lt;=-요약!$C$5,"대량매도",""))</f>
        <v/>
      </c>
      <c r="Q22" s="22">
        <f>(D22-AVERAGE(D$4:D$213))/STDEVP(D$4:D$213)</f>
        <v/>
      </c>
      <c r="R22" s="23">
        <f>M22/MEDIAN(M$4:M$213)</f>
        <v/>
      </c>
      <c r="S22" s="24">
        <f>IF(Q22&gt;=요약!$C$5,"대량매수",IF(Q22&lt;=-요약!$C$5,"대량매도",""))</f>
        <v/>
      </c>
    </row>
    <row r="23">
      <c r="A23" s="19" t="n">
        <v>46268</v>
      </c>
      <c r="B23" s="20" t="n">
        <v>2950</v>
      </c>
      <c r="C23" s="20" t="n">
        <v>-1082</v>
      </c>
      <c r="D23" s="20" t="n">
        <v>-1838</v>
      </c>
      <c r="E23" s="20" t="n">
        <v>-998</v>
      </c>
      <c r="F23" s="20" t="n">
        <v>-21</v>
      </c>
      <c r="G23" s="20" t="n">
        <v>-586</v>
      </c>
      <c r="H23" s="20" t="n">
        <v>-9</v>
      </c>
      <c r="I23" s="20" t="n">
        <v>-5</v>
      </c>
      <c r="J23" s="20" t="n">
        <v>-218</v>
      </c>
      <c r="K23" s="20" t="n">
        <v>-30</v>
      </c>
      <c r="L23" s="21">
        <f>ABS(C23)</f>
        <v/>
      </c>
      <c r="M23" s="21">
        <f>ABS(D23)</f>
        <v/>
      </c>
      <c r="N23" s="22">
        <f>(C23-AVERAGE(C$4:C$213))/STDEVP(C$4:C$213)</f>
        <v/>
      </c>
      <c r="O23" s="23">
        <f>L23/MEDIAN(L$4:L$213)</f>
        <v/>
      </c>
      <c r="P23" s="24">
        <f>IF(N23&gt;=요약!$C$5,"대량매수",IF(N23&lt;=-요약!$C$5,"대량매도",""))</f>
        <v/>
      </c>
      <c r="Q23" s="22">
        <f>(D23-AVERAGE(D$4:D$213))/STDEVP(D$4:D$213)</f>
        <v/>
      </c>
      <c r="R23" s="23">
        <f>M23/MEDIAN(M$4:M$213)</f>
        <v/>
      </c>
      <c r="S23" s="24">
        <f>IF(Q23&gt;=요약!$C$5,"대량매수",IF(Q23&lt;=-요약!$C$5,"대량매도",""))</f>
        <v/>
      </c>
    </row>
    <row r="24">
      <c r="A24" s="19" t="n">
        <v>46267</v>
      </c>
      <c r="B24" s="20" t="n">
        <v>1727</v>
      </c>
      <c r="C24" s="20" t="n">
        <v>618</v>
      </c>
      <c r="D24" s="20" t="n">
        <v>-2322</v>
      </c>
      <c r="E24" s="20" t="n">
        <v>-1522</v>
      </c>
      <c r="F24" s="20" t="n">
        <v>26</v>
      </c>
      <c r="G24" s="20" t="n">
        <v>-884</v>
      </c>
      <c r="H24" s="20" t="n">
        <v>0</v>
      </c>
      <c r="I24" s="20" t="n">
        <v>9</v>
      </c>
      <c r="J24" s="20" t="n">
        <v>50</v>
      </c>
      <c r="K24" s="20" t="n">
        <v>-24</v>
      </c>
      <c r="L24" s="21">
        <f>ABS(C24)</f>
        <v/>
      </c>
      <c r="M24" s="21">
        <f>ABS(D24)</f>
        <v/>
      </c>
      <c r="N24" s="22">
        <f>(C24-AVERAGE(C$4:C$213))/STDEVP(C$4:C$213)</f>
        <v/>
      </c>
      <c r="O24" s="23">
        <f>L24/MEDIAN(L$4:L$213)</f>
        <v/>
      </c>
      <c r="P24" s="24">
        <f>IF(N24&gt;=요약!$C$5,"대량매수",IF(N24&lt;=-요약!$C$5,"대량매도",""))</f>
        <v/>
      </c>
      <c r="Q24" s="22">
        <f>(D24-AVERAGE(D$4:D$213))/STDEVP(D$4:D$213)</f>
        <v/>
      </c>
      <c r="R24" s="23">
        <f>M24/MEDIAN(M$4:M$213)</f>
        <v/>
      </c>
      <c r="S24" s="24">
        <f>IF(Q24&gt;=요약!$C$5,"대량매수",IF(Q24&lt;=-요약!$C$5,"대량매도",""))</f>
        <v/>
      </c>
    </row>
    <row r="25">
      <c r="A25" s="19" t="n">
        <v>46266</v>
      </c>
      <c r="B25" s="20" t="n">
        <v>4389</v>
      </c>
      <c r="C25" s="20" t="n">
        <v>-1531</v>
      </c>
      <c r="D25" s="20" t="n">
        <v>-2787</v>
      </c>
      <c r="E25" s="20" t="n">
        <v>-2265</v>
      </c>
      <c r="F25" s="20" t="n">
        <v>-20</v>
      </c>
      <c r="G25" s="20" t="n">
        <v>-286</v>
      </c>
      <c r="H25" s="20" t="n">
        <v>-15</v>
      </c>
      <c r="I25" s="20" t="n">
        <v>-1</v>
      </c>
      <c r="J25" s="20" t="n">
        <v>-200</v>
      </c>
      <c r="K25" s="20" t="n">
        <v>-71</v>
      </c>
      <c r="L25" s="21">
        <f>ABS(C25)</f>
        <v/>
      </c>
      <c r="M25" s="21">
        <f>ABS(D25)</f>
        <v/>
      </c>
      <c r="N25" s="22">
        <f>(C25-AVERAGE(C$4:C$213))/STDEVP(C$4:C$213)</f>
        <v/>
      </c>
      <c r="O25" s="23">
        <f>L25/MEDIAN(L$4:L$213)</f>
        <v/>
      </c>
      <c r="P25" s="24">
        <f>IF(N25&gt;=요약!$C$5,"대량매수",IF(N25&lt;=-요약!$C$5,"대량매도",""))</f>
        <v/>
      </c>
      <c r="Q25" s="22">
        <f>(D25-AVERAGE(D$4:D$213))/STDEVP(D$4:D$213)</f>
        <v/>
      </c>
      <c r="R25" s="23">
        <f>M25/MEDIAN(M$4:M$213)</f>
        <v/>
      </c>
      <c r="S25" s="24">
        <f>IF(Q25&gt;=요약!$C$5,"대량매수",IF(Q25&lt;=-요약!$C$5,"대량매도",""))</f>
        <v/>
      </c>
    </row>
    <row r="26">
      <c r="A26" s="19" t="n">
        <v>46265</v>
      </c>
      <c r="B26" s="20" t="n">
        <v>2530</v>
      </c>
      <c r="C26" s="20" t="n">
        <v>-552</v>
      </c>
      <c r="D26" s="20" t="n">
        <v>-2005</v>
      </c>
      <c r="E26" s="20" t="n">
        <v>-1857</v>
      </c>
      <c r="F26" s="20" t="n">
        <v>10</v>
      </c>
      <c r="G26" s="20" t="n">
        <v>144</v>
      </c>
      <c r="H26" s="20" t="n">
        <v>-10</v>
      </c>
      <c r="I26" s="20" t="n">
        <v>2</v>
      </c>
      <c r="J26" s="20" t="n">
        <v>-294</v>
      </c>
      <c r="K26" s="20" t="n">
        <v>26</v>
      </c>
      <c r="L26" s="21">
        <f>ABS(C26)</f>
        <v/>
      </c>
      <c r="M26" s="21">
        <f>ABS(D26)</f>
        <v/>
      </c>
      <c r="N26" s="22">
        <f>(C26-AVERAGE(C$4:C$213))/STDEVP(C$4:C$213)</f>
        <v/>
      </c>
      <c r="O26" s="23">
        <f>L26/MEDIAN(L$4:L$213)</f>
        <v/>
      </c>
      <c r="P26" s="24">
        <f>IF(N26&gt;=요약!$C$5,"대량매수",IF(N26&lt;=-요약!$C$5,"대량매도",""))</f>
        <v/>
      </c>
      <c r="Q26" s="22">
        <f>(D26-AVERAGE(D$4:D$213))/STDEVP(D$4:D$213)</f>
        <v/>
      </c>
      <c r="R26" s="23">
        <f>M26/MEDIAN(M$4:M$213)</f>
        <v/>
      </c>
      <c r="S26" s="24">
        <f>IF(Q26&gt;=요약!$C$5,"대량매수",IF(Q26&lt;=-요약!$C$5,"대량매도",""))</f>
        <v/>
      </c>
    </row>
    <row r="27">
      <c r="A27" s="19" t="n">
        <v>46262</v>
      </c>
      <c r="B27" s="20" t="n">
        <v>979</v>
      </c>
      <c r="C27" s="20" t="n">
        <v>-942</v>
      </c>
      <c r="D27" s="20" t="n">
        <v>-30</v>
      </c>
      <c r="E27" s="20" t="n">
        <v>-189</v>
      </c>
      <c r="F27" s="20" t="n">
        <v>38</v>
      </c>
      <c r="G27" s="20" t="n">
        <v>85</v>
      </c>
      <c r="H27" s="20" t="n">
        <v>-3</v>
      </c>
      <c r="I27" s="20" t="n">
        <v>-2</v>
      </c>
      <c r="J27" s="20" t="n">
        <v>41</v>
      </c>
      <c r="K27" s="20" t="n">
        <v>-7</v>
      </c>
      <c r="L27" s="21">
        <f>ABS(C27)</f>
        <v/>
      </c>
      <c r="M27" s="21">
        <f>ABS(D27)</f>
        <v/>
      </c>
      <c r="N27" s="22">
        <f>(C27-AVERAGE(C$4:C$213))/STDEVP(C$4:C$213)</f>
        <v/>
      </c>
      <c r="O27" s="23">
        <f>L27/MEDIAN(L$4:L$213)</f>
        <v/>
      </c>
      <c r="P27" s="24">
        <f>IF(N27&gt;=요약!$C$5,"대량매수",IF(N27&lt;=-요약!$C$5,"대량매도",""))</f>
        <v/>
      </c>
      <c r="Q27" s="22">
        <f>(D27-AVERAGE(D$4:D$213))/STDEVP(D$4:D$213)</f>
        <v/>
      </c>
      <c r="R27" s="23">
        <f>M27/MEDIAN(M$4:M$213)</f>
        <v/>
      </c>
      <c r="S27" s="24">
        <f>IF(Q27&gt;=요약!$C$5,"대량매수",IF(Q27&lt;=-요약!$C$5,"대량매도",""))</f>
        <v/>
      </c>
    </row>
    <row r="28">
      <c r="A28" s="19" t="n">
        <v>46261</v>
      </c>
      <c r="B28" s="20" t="n">
        <v>-1752</v>
      </c>
      <c r="C28" s="20" t="n">
        <v>2955</v>
      </c>
      <c r="D28" s="20" t="n">
        <v>-1192</v>
      </c>
      <c r="E28" s="20" t="n">
        <v>618</v>
      </c>
      <c r="F28" s="20" t="n">
        <v>35</v>
      </c>
      <c r="G28" s="20" t="n">
        <v>187</v>
      </c>
      <c r="H28" s="20" t="n">
        <v>-49</v>
      </c>
      <c r="I28" s="20" t="n">
        <v>-2110</v>
      </c>
      <c r="J28" s="20" t="n">
        <v>127</v>
      </c>
      <c r="K28" s="20" t="n">
        <v>-11</v>
      </c>
      <c r="L28" s="21">
        <f>ABS(C28)</f>
        <v/>
      </c>
      <c r="M28" s="21">
        <f>ABS(D28)</f>
        <v/>
      </c>
      <c r="N28" s="22">
        <f>(C28-AVERAGE(C$4:C$213))/STDEVP(C$4:C$213)</f>
        <v/>
      </c>
      <c r="O28" s="23">
        <f>L28/MEDIAN(L$4:L$213)</f>
        <v/>
      </c>
      <c r="P28" s="24">
        <f>IF(N28&gt;=요약!$C$5,"대량매수",IF(N28&lt;=-요약!$C$5,"대량매도",""))</f>
        <v/>
      </c>
      <c r="Q28" s="22">
        <f>(D28-AVERAGE(D$4:D$213))/STDEVP(D$4:D$213)</f>
        <v/>
      </c>
      <c r="R28" s="23">
        <f>M28/MEDIAN(M$4:M$213)</f>
        <v/>
      </c>
      <c r="S28" s="24">
        <f>IF(Q28&gt;=요약!$C$5,"대량매수",IF(Q28&lt;=-요약!$C$5,"대량매도",""))</f>
        <v/>
      </c>
    </row>
    <row r="29">
      <c r="A29" s="19" t="n">
        <v>46260</v>
      </c>
      <c r="B29" s="20" t="n">
        <v>1931</v>
      </c>
      <c r="C29" s="20" t="n">
        <v>-918</v>
      </c>
      <c r="D29" s="20" t="n">
        <v>-1054</v>
      </c>
      <c r="E29" s="20" t="n">
        <v>-1176</v>
      </c>
      <c r="F29" s="20" t="n">
        <v>2</v>
      </c>
      <c r="G29" s="20" t="n">
        <v>-8</v>
      </c>
      <c r="H29" s="20" t="n">
        <v>-40</v>
      </c>
      <c r="I29" s="20" t="n">
        <v>6</v>
      </c>
      <c r="J29" s="20" t="n">
        <v>161</v>
      </c>
      <c r="K29" s="20" t="n">
        <v>41</v>
      </c>
      <c r="L29" s="21">
        <f>ABS(C29)</f>
        <v/>
      </c>
      <c r="M29" s="21">
        <f>ABS(D29)</f>
        <v/>
      </c>
      <c r="N29" s="22">
        <f>(C29-AVERAGE(C$4:C$213))/STDEVP(C$4:C$213)</f>
        <v/>
      </c>
      <c r="O29" s="23">
        <f>L29/MEDIAN(L$4:L$213)</f>
        <v/>
      </c>
      <c r="P29" s="24">
        <f>IF(N29&gt;=요약!$C$5,"대량매수",IF(N29&lt;=-요약!$C$5,"대량매도",""))</f>
        <v/>
      </c>
      <c r="Q29" s="22">
        <f>(D29-AVERAGE(D$4:D$213))/STDEVP(D$4:D$213)</f>
        <v/>
      </c>
      <c r="R29" s="23">
        <f>M29/MEDIAN(M$4:M$213)</f>
        <v/>
      </c>
      <c r="S29" s="24">
        <f>IF(Q29&gt;=요약!$C$5,"대량매수",IF(Q29&lt;=-요약!$C$5,"대량매도",""))</f>
        <v/>
      </c>
    </row>
    <row r="30">
      <c r="A30" s="19" t="n">
        <v>46259</v>
      </c>
      <c r="B30" s="20" t="n">
        <v>-1375</v>
      </c>
      <c r="C30" s="20" t="n">
        <v>1327</v>
      </c>
      <c r="D30" s="20" t="n">
        <v>156</v>
      </c>
      <c r="E30" s="20" t="n">
        <v>138</v>
      </c>
      <c r="F30" s="20" t="n">
        <v>0</v>
      </c>
      <c r="G30" s="20" t="n">
        <v>73</v>
      </c>
      <c r="H30" s="20" t="n">
        <v>-37</v>
      </c>
      <c r="I30" s="20" t="n">
        <v>-3</v>
      </c>
      <c r="J30" s="20" t="n">
        <v>-16</v>
      </c>
      <c r="K30" s="20" t="n">
        <v>-109</v>
      </c>
      <c r="L30" s="21">
        <f>ABS(C30)</f>
        <v/>
      </c>
      <c r="M30" s="21">
        <f>ABS(D30)</f>
        <v/>
      </c>
      <c r="N30" s="22">
        <f>(C30-AVERAGE(C$4:C$213))/STDEVP(C$4:C$213)</f>
        <v/>
      </c>
      <c r="O30" s="23">
        <f>L30/MEDIAN(L$4:L$213)</f>
        <v/>
      </c>
      <c r="P30" s="24">
        <f>IF(N30&gt;=요약!$C$5,"대량매수",IF(N30&lt;=-요약!$C$5,"대량매도",""))</f>
        <v/>
      </c>
      <c r="Q30" s="22">
        <f>(D30-AVERAGE(D$4:D$213))/STDEVP(D$4:D$213)</f>
        <v/>
      </c>
      <c r="R30" s="23">
        <f>M30/MEDIAN(M$4:M$213)</f>
        <v/>
      </c>
      <c r="S30" s="24">
        <f>IF(Q30&gt;=요약!$C$5,"대량매수",IF(Q30&lt;=-요약!$C$5,"대량매도",""))</f>
        <v/>
      </c>
    </row>
    <row r="31">
      <c r="A31" s="19" t="n">
        <v>46258</v>
      </c>
      <c r="B31" s="20" t="n">
        <v>-2604</v>
      </c>
      <c r="C31" s="20" t="n">
        <v>2416</v>
      </c>
      <c r="D31" s="20" t="n">
        <v>249</v>
      </c>
      <c r="E31" s="20" t="n">
        <v>178</v>
      </c>
      <c r="F31" s="20" t="n">
        <v>22</v>
      </c>
      <c r="G31" s="20" t="n">
        <v>78</v>
      </c>
      <c r="H31" s="20" t="n">
        <v>-80</v>
      </c>
      <c r="I31" s="20" t="n">
        <v>-141</v>
      </c>
      <c r="J31" s="20" t="n">
        <v>193</v>
      </c>
      <c r="K31" s="20" t="n">
        <v>-61</v>
      </c>
      <c r="L31" s="21">
        <f>ABS(C31)</f>
        <v/>
      </c>
      <c r="M31" s="21">
        <f>ABS(D31)</f>
        <v/>
      </c>
      <c r="N31" s="22">
        <f>(C31-AVERAGE(C$4:C$213))/STDEVP(C$4:C$213)</f>
        <v/>
      </c>
      <c r="O31" s="23">
        <f>L31/MEDIAN(L$4:L$213)</f>
        <v/>
      </c>
      <c r="P31" s="24">
        <f>IF(N31&gt;=요약!$C$5,"대량매수",IF(N31&lt;=-요약!$C$5,"대량매도",""))</f>
        <v/>
      </c>
      <c r="Q31" s="22">
        <f>(D31-AVERAGE(D$4:D$213))/STDEVP(D$4:D$213)</f>
        <v/>
      </c>
      <c r="R31" s="23">
        <f>M31/MEDIAN(M$4:M$213)</f>
        <v/>
      </c>
      <c r="S31" s="24">
        <f>IF(Q31&gt;=요약!$C$5,"대량매수",IF(Q31&lt;=-요약!$C$5,"대량매도",""))</f>
        <v/>
      </c>
    </row>
    <row r="32">
      <c r="A32" s="19" t="n">
        <v>46255</v>
      </c>
      <c r="B32" s="20" t="n">
        <v>6236</v>
      </c>
      <c r="C32" s="20" t="n">
        <v>-2837</v>
      </c>
      <c r="D32" s="20" t="n">
        <v>-3462</v>
      </c>
      <c r="E32" s="20" t="n">
        <v>-1297</v>
      </c>
      <c r="F32" s="20" t="n">
        <v>-63</v>
      </c>
      <c r="G32" s="20" t="n">
        <v>-1597</v>
      </c>
      <c r="H32" s="20" t="n">
        <v>-32</v>
      </c>
      <c r="I32" s="20" t="n">
        <v>-17</v>
      </c>
      <c r="J32" s="20" t="n">
        <v>-456</v>
      </c>
      <c r="K32" s="20" t="n">
        <v>63</v>
      </c>
      <c r="L32" s="21">
        <f>ABS(C32)</f>
        <v/>
      </c>
      <c r="M32" s="21">
        <f>ABS(D32)</f>
        <v/>
      </c>
      <c r="N32" s="22">
        <f>(C32-AVERAGE(C$4:C$213))/STDEVP(C$4:C$213)</f>
        <v/>
      </c>
      <c r="O32" s="23">
        <f>L32/MEDIAN(L$4:L$213)</f>
        <v/>
      </c>
      <c r="P32" s="24">
        <f>IF(N32&gt;=요약!$C$5,"대량매수",IF(N32&lt;=-요약!$C$5,"대량매도",""))</f>
        <v/>
      </c>
      <c r="Q32" s="22">
        <f>(D32-AVERAGE(D$4:D$213))/STDEVP(D$4:D$213)</f>
        <v/>
      </c>
      <c r="R32" s="23">
        <f>M32/MEDIAN(M$4:M$213)</f>
        <v/>
      </c>
      <c r="S32" s="24">
        <f>IF(Q32&gt;=요약!$C$5,"대량매수",IF(Q32&lt;=-요약!$C$5,"대량매도",""))</f>
        <v/>
      </c>
    </row>
    <row r="33">
      <c r="A33" s="19" t="n">
        <v>46254</v>
      </c>
      <c r="B33" s="20" t="n">
        <v>16</v>
      </c>
      <c r="C33" s="20" t="n">
        <v>-1328</v>
      </c>
      <c r="D33" s="20" t="n">
        <v>1194</v>
      </c>
      <c r="E33" s="20" t="n">
        <v>760</v>
      </c>
      <c r="F33" s="20" t="n">
        <v>53</v>
      </c>
      <c r="G33" s="20" t="n">
        <v>239</v>
      </c>
      <c r="H33" s="20" t="n">
        <v>-120</v>
      </c>
      <c r="I33" s="20" t="n">
        <v>-17</v>
      </c>
      <c r="J33" s="20" t="n">
        <v>279</v>
      </c>
      <c r="K33" s="20" t="n">
        <v>118</v>
      </c>
      <c r="L33" s="21">
        <f>ABS(C33)</f>
        <v/>
      </c>
      <c r="M33" s="21">
        <f>ABS(D33)</f>
        <v/>
      </c>
      <c r="N33" s="22">
        <f>(C33-AVERAGE(C$4:C$213))/STDEVP(C$4:C$213)</f>
        <v/>
      </c>
      <c r="O33" s="23">
        <f>L33/MEDIAN(L$4:L$213)</f>
        <v/>
      </c>
      <c r="P33" s="24">
        <f>IF(N33&gt;=요약!$C$5,"대량매수",IF(N33&lt;=-요약!$C$5,"대량매도",""))</f>
        <v/>
      </c>
      <c r="Q33" s="22">
        <f>(D33-AVERAGE(D$4:D$213))/STDEVP(D$4:D$213)</f>
        <v/>
      </c>
      <c r="R33" s="23">
        <f>M33/MEDIAN(M$4:M$213)</f>
        <v/>
      </c>
      <c r="S33" s="24">
        <f>IF(Q33&gt;=요약!$C$5,"대량매수",IF(Q33&lt;=-요약!$C$5,"대량매도",""))</f>
        <v/>
      </c>
    </row>
    <row r="34">
      <c r="A34" s="19" t="n">
        <v>46253</v>
      </c>
      <c r="B34" s="20" t="n">
        <v>-664</v>
      </c>
      <c r="C34" s="20" t="n">
        <v>147</v>
      </c>
      <c r="D34" s="20" t="n">
        <v>500</v>
      </c>
      <c r="E34" s="20" t="n">
        <v>501</v>
      </c>
      <c r="F34" s="20" t="n">
        <v>32</v>
      </c>
      <c r="G34" s="20" t="n">
        <v>16</v>
      </c>
      <c r="H34" s="20" t="n">
        <v>1</v>
      </c>
      <c r="I34" s="20" t="n">
        <v>-14</v>
      </c>
      <c r="J34" s="20" t="n">
        <v>-37</v>
      </c>
      <c r="K34" s="20" t="n">
        <v>17</v>
      </c>
      <c r="L34" s="21">
        <f>ABS(C34)</f>
        <v/>
      </c>
      <c r="M34" s="21">
        <f>ABS(D34)</f>
        <v/>
      </c>
      <c r="N34" s="22">
        <f>(C34-AVERAGE(C$4:C$213))/STDEVP(C$4:C$213)</f>
        <v/>
      </c>
      <c r="O34" s="23">
        <f>L34/MEDIAN(L$4:L$213)</f>
        <v/>
      </c>
      <c r="P34" s="24">
        <f>IF(N34&gt;=요약!$C$5,"대량매수",IF(N34&lt;=-요약!$C$5,"대량매도",""))</f>
        <v/>
      </c>
      <c r="Q34" s="22">
        <f>(D34-AVERAGE(D$4:D$213))/STDEVP(D$4:D$213)</f>
        <v/>
      </c>
      <c r="R34" s="23">
        <f>M34/MEDIAN(M$4:M$213)</f>
        <v/>
      </c>
      <c r="S34" s="24">
        <f>IF(Q34&gt;=요약!$C$5,"대량매수",IF(Q34&lt;=-요약!$C$5,"대량매도",""))</f>
        <v/>
      </c>
    </row>
    <row r="35">
      <c r="A35" s="19" t="n">
        <v>46252</v>
      </c>
      <c r="B35" s="20" t="n">
        <v>3905</v>
      </c>
      <c r="C35" s="20" t="n">
        <v>366</v>
      </c>
      <c r="D35" s="20" t="n">
        <v>-4176</v>
      </c>
      <c r="E35" s="20" t="n">
        <v>-3481</v>
      </c>
      <c r="F35" s="20" t="n">
        <v>-102</v>
      </c>
      <c r="G35" s="20" t="n">
        <v>-328</v>
      </c>
      <c r="H35" s="20" t="n">
        <v>-1</v>
      </c>
      <c r="I35" s="20" t="n">
        <v>-68</v>
      </c>
      <c r="J35" s="20" t="n">
        <v>-195</v>
      </c>
      <c r="K35" s="20" t="n">
        <v>-95</v>
      </c>
      <c r="L35" s="21">
        <f>ABS(C35)</f>
        <v/>
      </c>
      <c r="M35" s="21">
        <f>ABS(D35)</f>
        <v/>
      </c>
      <c r="N35" s="22">
        <f>(C35-AVERAGE(C$4:C$213))/STDEVP(C$4:C$213)</f>
        <v/>
      </c>
      <c r="O35" s="23">
        <f>L35/MEDIAN(L$4:L$213)</f>
        <v/>
      </c>
      <c r="P35" s="24">
        <f>IF(N35&gt;=요약!$C$5,"대량매수",IF(N35&lt;=-요약!$C$5,"대량매도",""))</f>
        <v/>
      </c>
      <c r="Q35" s="22">
        <f>(D35-AVERAGE(D$4:D$213))/STDEVP(D$4:D$213)</f>
        <v/>
      </c>
      <c r="R35" s="23">
        <f>M35/MEDIAN(M$4:M$213)</f>
        <v/>
      </c>
      <c r="S35" s="24">
        <f>IF(Q35&gt;=요약!$C$5,"대량매수",IF(Q35&lt;=-요약!$C$5,"대량매도",""))</f>
        <v/>
      </c>
    </row>
    <row r="36">
      <c r="A36" s="19" t="n">
        <v>46248</v>
      </c>
      <c r="B36" s="20" t="n">
        <v>3145</v>
      </c>
      <c r="C36" s="20" t="n">
        <v>-659</v>
      </c>
      <c r="D36" s="20" t="n">
        <v>-2524</v>
      </c>
      <c r="E36" s="20" t="n">
        <v>-2123</v>
      </c>
      <c r="F36" s="20" t="n">
        <v>-103</v>
      </c>
      <c r="G36" s="20" t="n">
        <v>-216</v>
      </c>
      <c r="H36" s="20" t="n">
        <v>0</v>
      </c>
      <c r="I36" s="20" t="n">
        <v>-1</v>
      </c>
      <c r="J36" s="20" t="n">
        <v>-82</v>
      </c>
      <c r="K36" s="20" t="n">
        <v>38</v>
      </c>
      <c r="L36" s="21">
        <f>ABS(C36)</f>
        <v/>
      </c>
      <c r="M36" s="21">
        <f>ABS(D36)</f>
        <v/>
      </c>
      <c r="N36" s="22">
        <f>(C36-AVERAGE(C$4:C$213))/STDEVP(C$4:C$213)</f>
        <v/>
      </c>
      <c r="O36" s="23">
        <f>L36/MEDIAN(L$4:L$213)</f>
        <v/>
      </c>
      <c r="P36" s="24">
        <f>IF(N36&gt;=요약!$C$5,"대량매수",IF(N36&lt;=-요약!$C$5,"대량매도",""))</f>
        <v/>
      </c>
      <c r="Q36" s="22">
        <f>(D36-AVERAGE(D$4:D$213))/STDEVP(D$4:D$213)</f>
        <v/>
      </c>
      <c r="R36" s="23">
        <f>M36/MEDIAN(M$4:M$213)</f>
        <v/>
      </c>
      <c r="S36" s="24">
        <f>IF(Q36&gt;=요약!$C$5,"대량매수",IF(Q36&lt;=-요약!$C$5,"대량매도",""))</f>
        <v/>
      </c>
    </row>
    <row r="37">
      <c r="A37" s="19" t="n">
        <v>46247</v>
      </c>
      <c r="B37" s="20" t="n">
        <v>2565</v>
      </c>
      <c r="C37" s="20" t="n">
        <v>-1362</v>
      </c>
      <c r="D37" s="20" t="n">
        <v>-1132</v>
      </c>
      <c r="E37" s="20" t="n">
        <v>142</v>
      </c>
      <c r="F37" s="20" t="n">
        <v>-99</v>
      </c>
      <c r="G37" s="20" t="n">
        <v>-939</v>
      </c>
      <c r="H37" s="20" t="n">
        <v>-5</v>
      </c>
      <c r="I37" s="20" t="n">
        <v>-39</v>
      </c>
      <c r="J37" s="20" t="n">
        <v>-193</v>
      </c>
      <c r="K37" s="20" t="n">
        <v>-71</v>
      </c>
      <c r="L37" s="21">
        <f>ABS(C37)</f>
        <v/>
      </c>
      <c r="M37" s="21">
        <f>ABS(D37)</f>
        <v/>
      </c>
      <c r="N37" s="22">
        <f>(C37-AVERAGE(C$4:C$213))/STDEVP(C$4:C$213)</f>
        <v/>
      </c>
      <c r="O37" s="23">
        <f>L37/MEDIAN(L$4:L$213)</f>
        <v/>
      </c>
      <c r="P37" s="24">
        <f>IF(N37&gt;=요약!$C$5,"대량매수",IF(N37&lt;=-요약!$C$5,"대량매도",""))</f>
        <v/>
      </c>
      <c r="Q37" s="22">
        <f>(D37-AVERAGE(D$4:D$213))/STDEVP(D$4:D$213)</f>
        <v/>
      </c>
      <c r="R37" s="23">
        <f>M37/MEDIAN(M$4:M$213)</f>
        <v/>
      </c>
      <c r="S37" s="24">
        <f>IF(Q37&gt;=요약!$C$5,"대량매수",IF(Q37&lt;=-요약!$C$5,"대량매도",""))</f>
        <v/>
      </c>
    </row>
    <row r="38">
      <c r="A38" s="19" t="n">
        <v>46246</v>
      </c>
      <c r="B38" s="20" t="n">
        <v>3127</v>
      </c>
      <c r="C38" s="20" t="n">
        <v>-1623</v>
      </c>
      <c r="D38" s="20" t="n">
        <v>-1459</v>
      </c>
      <c r="E38" s="20" t="n">
        <v>-517</v>
      </c>
      <c r="F38" s="20" t="n">
        <v>-49</v>
      </c>
      <c r="G38" s="20" t="n">
        <v>-684</v>
      </c>
      <c r="H38" s="20" t="n">
        <v>1</v>
      </c>
      <c r="I38" s="20" t="n">
        <v>-21</v>
      </c>
      <c r="J38" s="20" t="n">
        <v>-188</v>
      </c>
      <c r="K38" s="20" t="n">
        <v>-46</v>
      </c>
      <c r="L38" s="21">
        <f>ABS(C38)</f>
        <v/>
      </c>
      <c r="M38" s="21">
        <f>ABS(D38)</f>
        <v/>
      </c>
      <c r="N38" s="22">
        <f>(C38-AVERAGE(C$4:C$213))/STDEVP(C$4:C$213)</f>
        <v/>
      </c>
      <c r="O38" s="23">
        <f>L38/MEDIAN(L$4:L$213)</f>
        <v/>
      </c>
      <c r="P38" s="24">
        <f>IF(N38&gt;=요약!$C$5,"대량매수",IF(N38&lt;=-요약!$C$5,"대량매도",""))</f>
        <v/>
      </c>
      <c r="Q38" s="22">
        <f>(D38-AVERAGE(D$4:D$213))/STDEVP(D$4:D$213)</f>
        <v/>
      </c>
      <c r="R38" s="23">
        <f>M38/MEDIAN(M$4:M$213)</f>
        <v/>
      </c>
      <c r="S38" s="24">
        <f>IF(Q38&gt;=요약!$C$5,"대량매수",IF(Q38&lt;=-요약!$C$5,"대량매도",""))</f>
        <v/>
      </c>
    </row>
    <row r="39">
      <c r="A39" s="19" t="n">
        <v>46245</v>
      </c>
      <c r="B39" s="20" t="n">
        <v>4351</v>
      </c>
      <c r="C39" s="20" t="n">
        <v>-3562</v>
      </c>
      <c r="D39" s="20" t="n">
        <v>-954</v>
      </c>
      <c r="E39" s="20" t="n">
        <v>-1377</v>
      </c>
      <c r="F39" s="20" t="n">
        <v>28</v>
      </c>
      <c r="G39" s="20" t="n">
        <v>351</v>
      </c>
      <c r="H39" s="20" t="n">
        <v>-9</v>
      </c>
      <c r="I39" s="20" t="n">
        <v>-7</v>
      </c>
      <c r="J39" s="20" t="n">
        <v>59</v>
      </c>
      <c r="K39" s="20" t="n">
        <v>165</v>
      </c>
      <c r="L39" s="21">
        <f>ABS(C39)</f>
        <v/>
      </c>
      <c r="M39" s="21">
        <f>ABS(D39)</f>
        <v/>
      </c>
      <c r="N39" s="22">
        <f>(C39-AVERAGE(C$4:C$213))/STDEVP(C$4:C$213)</f>
        <v/>
      </c>
      <c r="O39" s="23">
        <f>L39/MEDIAN(L$4:L$213)</f>
        <v/>
      </c>
      <c r="P39" s="24">
        <f>IF(N39&gt;=요약!$C$5,"대량매수",IF(N39&lt;=-요약!$C$5,"대량매도",""))</f>
        <v/>
      </c>
      <c r="Q39" s="22">
        <f>(D39-AVERAGE(D$4:D$213))/STDEVP(D$4:D$213)</f>
        <v/>
      </c>
      <c r="R39" s="23">
        <f>M39/MEDIAN(M$4:M$213)</f>
        <v/>
      </c>
      <c r="S39" s="24">
        <f>IF(Q39&gt;=요약!$C$5,"대량매수",IF(Q39&lt;=-요약!$C$5,"대량매도",""))</f>
        <v/>
      </c>
    </row>
    <row r="40">
      <c r="A40" s="19" t="n">
        <v>46244</v>
      </c>
      <c r="B40" s="20" t="n">
        <v>-6729</v>
      </c>
      <c r="C40" s="20" t="n">
        <v>1027</v>
      </c>
      <c r="D40" s="20" t="n">
        <v>5667</v>
      </c>
      <c r="E40" s="20" t="n">
        <v>2988</v>
      </c>
      <c r="F40" s="20" t="n">
        <v>173</v>
      </c>
      <c r="G40" s="20" t="n">
        <v>1690</v>
      </c>
      <c r="H40" s="20" t="n">
        <v>13</v>
      </c>
      <c r="I40" s="20" t="n">
        <v>-20</v>
      </c>
      <c r="J40" s="20" t="n">
        <v>823</v>
      </c>
      <c r="K40" s="20" t="n">
        <v>35</v>
      </c>
      <c r="L40" s="21">
        <f>ABS(C40)</f>
        <v/>
      </c>
      <c r="M40" s="21">
        <f>ABS(D40)</f>
        <v/>
      </c>
      <c r="N40" s="22">
        <f>(C40-AVERAGE(C$4:C$213))/STDEVP(C$4:C$213)</f>
        <v/>
      </c>
      <c r="O40" s="23">
        <f>L40/MEDIAN(L$4:L$213)</f>
        <v/>
      </c>
      <c r="P40" s="24">
        <f>IF(N40&gt;=요약!$C$5,"대량매수",IF(N40&lt;=-요약!$C$5,"대량매도",""))</f>
        <v/>
      </c>
      <c r="Q40" s="22">
        <f>(D40-AVERAGE(D$4:D$213))/STDEVP(D$4:D$213)</f>
        <v/>
      </c>
      <c r="R40" s="23">
        <f>M40/MEDIAN(M$4:M$213)</f>
        <v/>
      </c>
      <c r="S40" s="24">
        <f>IF(Q40&gt;=요약!$C$5,"대량매수",IF(Q40&lt;=-요약!$C$5,"대량매도",""))</f>
        <v/>
      </c>
    </row>
    <row r="41">
      <c r="A41" s="19" t="n">
        <v>46241</v>
      </c>
      <c r="B41" s="20" t="n">
        <v>3402</v>
      </c>
      <c r="C41" s="20" t="n">
        <v>-2522</v>
      </c>
      <c r="D41" s="20" t="n">
        <v>-1044</v>
      </c>
      <c r="E41" s="20" t="n">
        <v>-1433</v>
      </c>
      <c r="F41" s="20" t="n">
        <v>44</v>
      </c>
      <c r="G41" s="20" t="n">
        <v>353</v>
      </c>
      <c r="H41" s="20" t="n">
        <v>1</v>
      </c>
      <c r="I41" s="20" t="n">
        <v>-3</v>
      </c>
      <c r="J41" s="20" t="n">
        <v>-6</v>
      </c>
      <c r="K41" s="20" t="n">
        <v>165</v>
      </c>
      <c r="L41" s="21">
        <f>ABS(C41)</f>
        <v/>
      </c>
      <c r="M41" s="21">
        <f>ABS(D41)</f>
        <v/>
      </c>
      <c r="N41" s="22">
        <f>(C41-AVERAGE(C$4:C$213))/STDEVP(C$4:C$213)</f>
        <v/>
      </c>
      <c r="O41" s="23">
        <f>L41/MEDIAN(L$4:L$213)</f>
        <v/>
      </c>
      <c r="P41" s="24">
        <f>IF(N41&gt;=요약!$C$5,"대량매수",IF(N41&lt;=-요약!$C$5,"대량매도",""))</f>
        <v/>
      </c>
      <c r="Q41" s="22">
        <f>(D41-AVERAGE(D$4:D$213))/STDEVP(D$4:D$213)</f>
        <v/>
      </c>
      <c r="R41" s="23">
        <f>M41/MEDIAN(M$4:M$213)</f>
        <v/>
      </c>
      <c r="S41" s="24">
        <f>IF(Q41&gt;=요약!$C$5,"대량매수",IF(Q41&lt;=-요약!$C$5,"대량매도",""))</f>
        <v/>
      </c>
    </row>
    <row r="42">
      <c r="A42" s="19" t="n">
        <v>46240</v>
      </c>
      <c r="B42" s="20" t="n">
        <v>863</v>
      </c>
      <c r="C42" s="20" t="n">
        <v>-2481</v>
      </c>
      <c r="D42" s="20" t="n">
        <v>1615</v>
      </c>
      <c r="E42" s="20" t="n">
        <v>1323</v>
      </c>
      <c r="F42" s="20" t="n">
        <v>32</v>
      </c>
      <c r="G42" s="20" t="n">
        <v>244</v>
      </c>
      <c r="H42" s="20" t="n">
        <v>1</v>
      </c>
      <c r="I42" s="20" t="n">
        <v>-26</v>
      </c>
      <c r="J42" s="20" t="n">
        <v>40</v>
      </c>
      <c r="K42" s="20" t="n">
        <v>4</v>
      </c>
      <c r="L42" s="21">
        <f>ABS(C42)</f>
        <v/>
      </c>
      <c r="M42" s="21">
        <f>ABS(D42)</f>
        <v/>
      </c>
      <c r="N42" s="22">
        <f>(C42-AVERAGE(C$4:C$213))/STDEVP(C$4:C$213)</f>
        <v/>
      </c>
      <c r="O42" s="23">
        <f>L42/MEDIAN(L$4:L$213)</f>
        <v/>
      </c>
      <c r="P42" s="24">
        <f>IF(N42&gt;=요약!$C$5,"대량매수",IF(N42&lt;=-요약!$C$5,"대량매도",""))</f>
        <v/>
      </c>
      <c r="Q42" s="22">
        <f>(D42-AVERAGE(D$4:D$213))/STDEVP(D$4:D$213)</f>
        <v/>
      </c>
      <c r="R42" s="23">
        <f>M42/MEDIAN(M$4:M$213)</f>
        <v/>
      </c>
      <c r="S42" s="24">
        <f>IF(Q42&gt;=요약!$C$5,"대량매수",IF(Q42&lt;=-요약!$C$5,"대량매도",""))</f>
        <v/>
      </c>
    </row>
    <row r="43">
      <c r="A43" s="19" t="n">
        <v>46239</v>
      </c>
      <c r="B43" s="20" t="n">
        <v>3941</v>
      </c>
      <c r="C43" s="20" t="n">
        <v>-2979</v>
      </c>
      <c r="D43" s="20" t="n">
        <v>-1101</v>
      </c>
      <c r="E43" s="20" t="n">
        <v>-1645</v>
      </c>
      <c r="F43" s="20" t="n">
        <v>35</v>
      </c>
      <c r="G43" s="20" t="n">
        <v>628</v>
      </c>
      <c r="H43" s="20" t="n">
        <v>4</v>
      </c>
      <c r="I43" s="20" t="n">
        <v>-38</v>
      </c>
      <c r="J43" s="20" t="n">
        <v>-84</v>
      </c>
      <c r="K43" s="20" t="n">
        <v>138</v>
      </c>
      <c r="L43" s="21">
        <f>ABS(C43)</f>
        <v/>
      </c>
      <c r="M43" s="21">
        <f>ABS(D43)</f>
        <v/>
      </c>
      <c r="N43" s="22">
        <f>(C43-AVERAGE(C$4:C$213))/STDEVP(C$4:C$213)</f>
        <v/>
      </c>
      <c r="O43" s="23">
        <f>L43/MEDIAN(L$4:L$213)</f>
        <v/>
      </c>
      <c r="P43" s="24">
        <f>IF(N43&gt;=요약!$C$5,"대량매수",IF(N43&lt;=-요약!$C$5,"대량매도",""))</f>
        <v/>
      </c>
      <c r="Q43" s="22">
        <f>(D43-AVERAGE(D$4:D$213))/STDEVP(D$4:D$213)</f>
        <v/>
      </c>
      <c r="R43" s="23">
        <f>M43/MEDIAN(M$4:M$213)</f>
        <v/>
      </c>
      <c r="S43" s="24">
        <f>IF(Q43&gt;=요약!$C$5,"대량매수",IF(Q43&lt;=-요약!$C$5,"대량매도",""))</f>
        <v/>
      </c>
    </row>
    <row r="44">
      <c r="A44" s="19" t="n">
        <v>46238</v>
      </c>
      <c r="B44" s="20" t="n">
        <v>-2587</v>
      </c>
      <c r="C44" s="20" t="n">
        <v>-2775</v>
      </c>
      <c r="D44" s="20" t="n">
        <v>5438</v>
      </c>
      <c r="E44" s="20" t="n">
        <v>3332</v>
      </c>
      <c r="F44" s="20" t="n">
        <v>109</v>
      </c>
      <c r="G44" s="20" t="n">
        <v>1531</v>
      </c>
      <c r="H44" s="20" t="n">
        <v>2</v>
      </c>
      <c r="I44" s="20" t="n">
        <v>4</v>
      </c>
      <c r="J44" s="20" t="n">
        <v>460</v>
      </c>
      <c r="K44" s="20" t="n">
        <v>-76</v>
      </c>
      <c r="L44" s="21">
        <f>ABS(C44)</f>
        <v/>
      </c>
      <c r="M44" s="21">
        <f>ABS(D44)</f>
        <v/>
      </c>
      <c r="N44" s="22">
        <f>(C44-AVERAGE(C$4:C$213))/STDEVP(C$4:C$213)</f>
        <v/>
      </c>
      <c r="O44" s="23">
        <f>L44/MEDIAN(L$4:L$213)</f>
        <v/>
      </c>
      <c r="P44" s="24">
        <f>IF(N44&gt;=요약!$C$5,"대량매수",IF(N44&lt;=-요약!$C$5,"대량매도",""))</f>
        <v/>
      </c>
      <c r="Q44" s="22">
        <f>(D44-AVERAGE(D$4:D$213))/STDEVP(D$4:D$213)</f>
        <v/>
      </c>
      <c r="R44" s="23">
        <f>M44/MEDIAN(M$4:M$213)</f>
        <v/>
      </c>
      <c r="S44" s="24">
        <f>IF(Q44&gt;=요약!$C$5,"대량매수",IF(Q44&lt;=-요약!$C$5,"대량매도",""))</f>
        <v/>
      </c>
    </row>
    <row r="45">
      <c r="A45" s="19" t="n">
        <v>46237</v>
      </c>
      <c r="B45" s="20" t="n">
        <v>302</v>
      </c>
      <c r="C45" s="20" t="n">
        <v>-2092</v>
      </c>
      <c r="D45" s="20" t="n">
        <v>1669</v>
      </c>
      <c r="E45" s="20" t="n">
        <v>136</v>
      </c>
      <c r="F45" s="20" t="n">
        <v>78</v>
      </c>
      <c r="G45" s="20" t="n">
        <v>1309</v>
      </c>
      <c r="H45" s="20" t="n">
        <v>12</v>
      </c>
      <c r="I45" s="20" t="n">
        <v>-3</v>
      </c>
      <c r="J45" s="20" t="n">
        <v>138</v>
      </c>
      <c r="K45" s="20" t="n">
        <v>121</v>
      </c>
      <c r="L45" s="21">
        <f>ABS(C45)</f>
        <v/>
      </c>
      <c r="M45" s="21">
        <f>ABS(D45)</f>
        <v/>
      </c>
      <c r="N45" s="22">
        <f>(C45-AVERAGE(C$4:C$213))/STDEVP(C$4:C$213)</f>
        <v/>
      </c>
      <c r="O45" s="23">
        <f>L45/MEDIAN(L$4:L$213)</f>
        <v/>
      </c>
      <c r="P45" s="24">
        <f>IF(N45&gt;=요약!$C$5,"대량매수",IF(N45&lt;=-요약!$C$5,"대량매도",""))</f>
        <v/>
      </c>
      <c r="Q45" s="22">
        <f>(D45-AVERAGE(D$4:D$213))/STDEVP(D$4:D$213)</f>
        <v/>
      </c>
      <c r="R45" s="23">
        <f>M45/MEDIAN(M$4:M$213)</f>
        <v/>
      </c>
      <c r="S45" s="24">
        <f>IF(Q45&gt;=요약!$C$5,"대량매수",IF(Q45&lt;=-요약!$C$5,"대량매도",""))</f>
        <v/>
      </c>
    </row>
    <row r="46">
      <c r="A46" s="19" t="n">
        <v>46234</v>
      </c>
      <c r="B46" s="20" t="n">
        <v>-4715</v>
      </c>
      <c r="C46" s="20" t="n">
        <v>1697</v>
      </c>
      <c r="D46" s="20" t="n">
        <v>2985</v>
      </c>
      <c r="E46" s="20" t="n">
        <v>678</v>
      </c>
      <c r="F46" s="20" t="n">
        <v>69</v>
      </c>
      <c r="G46" s="20" t="n">
        <v>1495</v>
      </c>
      <c r="H46" s="20" t="n">
        <v>0</v>
      </c>
      <c r="I46" s="20" t="n">
        <v>4</v>
      </c>
      <c r="J46" s="20" t="n">
        <v>738</v>
      </c>
      <c r="K46" s="20" t="n">
        <v>33</v>
      </c>
      <c r="L46" s="21">
        <f>ABS(C46)</f>
        <v/>
      </c>
      <c r="M46" s="21">
        <f>ABS(D46)</f>
        <v/>
      </c>
      <c r="N46" s="22">
        <f>(C46-AVERAGE(C$4:C$213))/STDEVP(C$4:C$213)</f>
        <v/>
      </c>
      <c r="O46" s="23">
        <f>L46/MEDIAN(L$4:L$213)</f>
        <v/>
      </c>
      <c r="P46" s="24">
        <f>IF(N46&gt;=요약!$C$5,"대량매수",IF(N46&lt;=-요약!$C$5,"대량매도",""))</f>
        <v/>
      </c>
      <c r="Q46" s="22">
        <f>(D46-AVERAGE(D$4:D$213))/STDEVP(D$4:D$213)</f>
        <v/>
      </c>
      <c r="R46" s="23">
        <f>M46/MEDIAN(M$4:M$213)</f>
        <v/>
      </c>
      <c r="S46" s="24">
        <f>IF(Q46&gt;=요약!$C$5,"대량매수",IF(Q46&lt;=-요약!$C$5,"대량매도",""))</f>
        <v/>
      </c>
    </row>
    <row r="47">
      <c r="A47" s="19" t="n">
        <v>46233</v>
      </c>
      <c r="B47" s="20" t="n">
        <v>-1108</v>
      </c>
      <c r="C47" s="20" t="n">
        <v>2483</v>
      </c>
      <c r="D47" s="20" t="n">
        <v>-1435</v>
      </c>
      <c r="E47" s="20" t="n">
        <v>-456</v>
      </c>
      <c r="F47" s="20" t="n">
        <v>-68</v>
      </c>
      <c r="G47" s="20" t="n">
        <v>-452</v>
      </c>
      <c r="H47" s="20" t="n">
        <v>-3</v>
      </c>
      <c r="I47" s="20" t="n">
        <v>-17</v>
      </c>
      <c r="J47" s="20" t="n">
        <v>-439</v>
      </c>
      <c r="K47" s="20" t="n">
        <v>60</v>
      </c>
      <c r="L47" s="21">
        <f>ABS(C47)</f>
        <v/>
      </c>
      <c r="M47" s="21">
        <f>ABS(D47)</f>
        <v/>
      </c>
      <c r="N47" s="22">
        <f>(C47-AVERAGE(C$4:C$213))/STDEVP(C$4:C$213)</f>
        <v/>
      </c>
      <c r="O47" s="23">
        <f>L47/MEDIAN(L$4:L$213)</f>
        <v/>
      </c>
      <c r="P47" s="24">
        <f>IF(N47&gt;=요약!$C$5,"대량매수",IF(N47&lt;=-요약!$C$5,"대량매도",""))</f>
        <v/>
      </c>
      <c r="Q47" s="22">
        <f>(D47-AVERAGE(D$4:D$213))/STDEVP(D$4:D$213)</f>
        <v/>
      </c>
      <c r="R47" s="23">
        <f>M47/MEDIAN(M$4:M$213)</f>
        <v/>
      </c>
      <c r="S47" s="24">
        <f>IF(Q47&gt;=요약!$C$5,"대량매수",IF(Q47&lt;=-요약!$C$5,"대량매도",""))</f>
        <v/>
      </c>
    </row>
    <row r="48">
      <c r="A48" s="19" t="n">
        <v>46232</v>
      </c>
      <c r="B48" s="20" t="n">
        <v>-4579</v>
      </c>
      <c r="C48" s="20" t="n">
        <v>3082</v>
      </c>
      <c r="D48" s="20" t="n">
        <v>1474</v>
      </c>
      <c r="E48" s="20" t="n">
        <v>1952</v>
      </c>
      <c r="F48" s="20" t="n">
        <v>-36</v>
      </c>
      <c r="G48" s="20" t="n">
        <v>-7</v>
      </c>
      <c r="H48" s="20" t="n">
        <v>-3</v>
      </c>
      <c r="I48" s="20" t="n">
        <v>-21</v>
      </c>
      <c r="J48" s="20" t="n">
        <v>-411</v>
      </c>
      <c r="K48" s="20" t="n">
        <v>23</v>
      </c>
      <c r="L48" s="21">
        <f>ABS(C48)</f>
        <v/>
      </c>
      <c r="M48" s="21">
        <f>ABS(D48)</f>
        <v/>
      </c>
      <c r="N48" s="22">
        <f>(C48-AVERAGE(C$4:C$213))/STDEVP(C$4:C$213)</f>
        <v/>
      </c>
      <c r="O48" s="23">
        <f>L48/MEDIAN(L$4:L$213)</f>
        <v/>
      </c>
      <c r="P48" s="24">
        <f>IF(N48&gt;=요약!$C$5,"대량매수",IF(N48&lt;=-요약!$C$5,"대량매도",""))</f>
        <v/>
      </c>
      <c r="Q48" s="22">
        <f>(D48-AVERAGE(D$4:D$213))/STDEVP(D$4:D$213)</f>
        <v/>
      </c>
      <c r="R48" s="23">
        <f>M48/MEDIAN(M$4:M$213)</f>
        <v/>
      </c>
      <c r="S48" s="24">
        <f>IF(Q48&gt;=요약!$C$5,"대량매수",IF(Q48&lt;=-요약!$C$5,"대량매도",""))</f>
        <v/>
      </c>
    </row>
    <row r="49">
      <c r="A49" s="19" t="n">
        <v>46231</v>
      </c>
      <c r="B49" s="20" t="n">
        <v>480</v>
      </c>
      <c r="C49" s="20" t="n">
        <v>860</v>
      </c>
      <c r="D49" s="20" t="n">
        <v>-1345</v>
      </c>
      <c r="E49" s="20" t="n">
        <v>99</v>
      </c>
      <c r="F49" s="20" t="n">
        <v>-82</v>
      </c>
      <c r="G49" s="20" t="n">
        <v>-1078</v>
      </c>
      <c r="H49" s="20" t="n">
        <v>2</v>
      </c>
      <c r="I49" s="20" t="n">
        <v>-6</v>
      </c>
      <c r="J49" s="20" t="n">
        <v>-280</v>
      </c>
      <c r="K49" s="20" t="n">
        <v>5</v>
      </c>
      <c r="L49" s="21">
        <f>ABS(C49)</f>
        <v/>
      </c>
      <c r="M49" s="21">
        <f>ABS(D49)</f>
        <v/>
      </c>
      <c r="N49" s="22">
        <f>(C49-AVERAGE(C$4:C$213))/STDEVP(C$4:C$213)</f>
        <v/>
      </c>
      <c r="O49" s="23">
        <f>L49/MEDIAN(L$4:L$213)</f>
        <v/>
      </c>
      <c r="P49" s="24">
        <f>IF(N49&gt;=요약!$C$5,"대량매수",IF(N49&lt;=-요약!$C$5,"대량매도",""))</f>
        <v/>
      </c>
      <c r="Q49" s="22">
        <f>(D49-AVERAGE(D$4:D$213))/STDEVP(D$4:D$213)</f>
        <v/>
      </c>
      <c r="R49" s="23">
        <f>M49/MEDIAN(M$4:M$213)</f>
        <v/>
      </c>
      <c r="S49" s="24">
        <f>IF(Q49&gt;=요약!$C$5,"대량매수",IF(Q49&lt;=-요약!$C$5,"대량매도",""))</f>
        <v/>
      </c>
    </row>
    <row r="50">
      <c r="A50" s="19" t="n">
        <v>46230</v>
      </c>
      <c r="B50" s="20" t="n">
        <v>-1550</v>
      </c>
      <c r="C50" s="20" t="n">
        <v>-1422</v>
      </c>
      <c r="D50" s="20" t="n">
        <v>2731</v>
      </c>
      <c r="E50" s="20" t="n">
        <v>2124</v>
      </c>
      <c r="F50" s="20" t="n">
        <v>20</v>
      </c>
      <c r="G50" s="20" t="n">
        <v>438</v>
      </c>
      <c r="H50" s="20" t="n">
        <v>0</v>
      </c>
      <c r="I50" s="20" t="n">
        <v>-22</v>
      </c>
      <c r="J50" s="20" t="n">
        <v>172</v>
      </c>
      <c r="K50" s="20" t="n">
        <v>241</v>
      </c>
      <c r="L50" s="21">
        <f>ABS(C50)</f>
        <v/>
      </c>
      <c r="M50" s="21">
        <f>ABS(D50)</f>
        <v/>
      </c>
      <c r="N50" s="22">
        <f>(C50-AVERAGE(C$4:C$213))/STDEVP(C$4:C$213)</f>
        <v/>
      </c>
      <c r="O50" s="23">
        <f>L50/MEDIAN(L$4:L$213)</f>
        <v/>
      </c>
      <c r="P50" s="24">
        <f>IF(N50&gt;=요약!$C$5,"대량매수",IF(N50&lt;=-요약!$C$5,"대량매도",""))</f>
        <v/>
      </c>
      <c r="Q50" s="22">
        <f>(D50-AVERAGE(D$4:D$213))/STDEVP(D$4:D$213)</f>
        <v/>
      </c>
      <c r="R50" s="23">
        <f>M50/MEDIAN(M$4:M$213)</f>
        <v/>
      </c>
      <c r="S50" s="24">
        <f>IF(Q50&gt;=요약!$C$5,"대량매수",IF(Q50&lt;=-요약!$C$5,"대량매도",""))</f>
        <v/>
      </c>
    </row>
    <row r="51">
      <c r="A51" s="19" t="n">
        <v>46227</v>
      </c>
      <c r="B51" s="20" t="n">
        <v>4881</v>
      </c>
      <c r="C51" s="20" t="n">
        <v>-1315</v>
      </c>
      <c r="D51" s="20" t="n">
        <v>-3580</v>
      </c>
      <c r="E51" s="20" t="n">
        <v>-1523</v>
      </c>
      <c r="F51" s="20" t="n">
        <v>-167</v>
      </c>
      <c r="G51" s="20" t="n">
        <v>-1015</v>
      </c>
      <c r="H51" s="20" t="n">
        <v>-5</v>
      </c>
      <c r="I51" s="20" t="n">
        <v>-71</v>
      </c>
      <c r="J51" s="20" t="n">
        <v>-799</v>
      </c>
      <c r="K51" s="20" t="n">
        <v>14</v>
      </c>
      <c r="L51" s="21">
        <f>ABS(C51)</f>
        <v/>
      </c>
      <c r="M51" s="21">
        <f>ABS(D51)</f>
        <v/>
      </c>
      <c r="N51" s="22">
        <f>(C51-AVERAGE(C$4:C$213))/STDEVP(C$4:C$213)</f>
        <v/>
      </c>
      <c r="O51" s="23">
        <f>L51/MEDIAN(L$4:L$213)</f>
        <v/>
      </c>
      <c r="P51" s="24">
        <f>IF(N51&gt;=요약!$C$5,"대량매수",IF(N51&lt;=-요약!$C$5,"대량매도",""))</f>
        <v/>
      </c>
      <c r="Q51" s="22">
        <f>(D51-AVERAGE(D$4:D$213))/STDEVP(D$4:D$213)</f>
        <v/>
      </c>
      <c r="R51" s="23">
        <f>M51/MEDIAN(M$4:M$213)</f>
        <v/>
      </c>
      <c r="S51" s="24">
        <f>IF(Q51&gt;=요약!$C$5,"대량매수",IF(Q51&lt;=-요약!$C$5,"대량매도",""))</f>
        <v/>
      </c>
    </row>
    <row r="52">
      <c r="A52" s="19" t="n">
        <v>46226</v>
      </c>
      <c r="B52" s="20" t="n">
        <v>-2373</v>
      </c>
      <c r="C52" s="20" t="n">
        <v>1675</v>
      </c>
      <c r="D52" s="20" t="n">
        <v>643</v>
      </c>
      <c r="E52" s="20" t="n">
        <v>1416</v>
      </c>
      <c r="F52" s="20" t="n">
        <v>-39</v>
      </c>
      <c r="G52" s="20" t="n">
        <v>-630</v>
      </c>
      <c r="H52" s="20" t="n">
        <v>0</v>
      </c>
      <c r="I52" s="20" t="n">
        <v>-4</v>
      </c>
      <c r="J52" s="20" t="n">
        <v>-100</v>
      </c>
      <c r="K52" s="20" t="n">
        <v>55</v>
      </c>
      <c r="L52" s="21">
        <f>ABS(C52)</f>
        <v/>
      </c>
      <c r="M52" s="21">
        <f>ABS(D52)</f>
        <v/>
      </c>
      <c r="N52" s="22">
        <f>(C52-AVERAGE(C$4:C$213))/STDEVP(C$4:C$213)</f>
        <v/>
      </c>
      <c r="O52" s="23">
        <f>L52/MEDIAN(L$4:L$213)</f>
        <v/>
      </c>
      <c r="P52" s="24">
        <f>IF(N52&gt;=요약!$C$5,"대량매수",IF(N52&lt;=-요약!$C$5,"대량매도",""))</f>
        <v/>
      </c>
      <c r="Q52" s="22">
        <f>(D52-AVERAGE(D$4:D$213))/STDEVP(D$4:D$213)</f>
        <v/>
      </c>
      <c r="R52" s="23">
        <f>M52/MEDIAN(M$4:M$213)</f>
        <v/>
      </c>
      <c r="S52" s="24">
        <f>IF(Q52&gt;=요약!$C$5,"대량매수",IF(Q52&lt;=-요약!$C$5,"대량매도",""))</f>
        <v/>
      </c>
    </row>
    <row r="53">
      <c r="A53" s="19" t="n">
        <v>46225</v>
      </c>
      <c r="B53" s="20" t="n">
        <v>2636</v>
      </c>
      <c r="C53" s="20" t="n">
        <v>-815</v>
      </c>
      <c r="D53" s="20" t="n">
        <v>-1914</v>
      </c>
      <c r="E53" s="20" t="n">
        <v>-1644</v>
      </c>
      <c r="F53" s="20" t="n">
        <v>-21</v>
      </c>
      <c r="G53" s="20" t="n">
        <v>-524</v>
      </c>
      <c r="H53" s="20" t="n">
        <v>-1</v>
      </c>
      <c r="I53" s="20" t="n">
        <v>-33</v>
      </c>
      <c r="J53" s="20" t="n">
        <v>308</v>
      </c>
      <c r="K53" s="20" t="n">
        <v>93</v>
      </c>
      <c r="L53" s="21">
        <f>ABS(C53)</f>
        <v/>
      </c>
      <c r="M53" s="21">
        <f>ABS(D53)</f>
        <v/>
      </c>
      <c r="N53" s="22">
        <f>(C53-AVERAGE(C$4:C$213))/STDEVP(C$4:C$213)</f>
        <v/>
      </c>
      <c r="O53" s="23">
        <f>L53/MEDIAN(L$4:L$213)</f>
        <v/>
      </c>
      <c r="P53" s="24">
        <f>IF(N53&gt;=요약!$C$5,"대량매수",IF(N53&lt;=-요약!$C$5,"대량매도",""))</f>
        <v/>
      </c>
      <c r="Q53" s="22">
        <f>(D53-AVERAGE(D$4:D$213))/STDEVP(D$4:D$213)</f>
        <v/>
      </c>
      <c r="R53" s="23">
        <f>M53/MEDIAN(M$4:M$213)</f>
        <v/>
      </c>
      <c r="S53" s="24">
        <f>IF(Q53&gt;=요약!$C$5,"대량매수",IF(Q53&lt;=-요약!$C$5,"대량매도",""))</f>
        <v/>
      </c>
    </row>
    <row r="54">
      <c r="A54" s="19" t="n">
        <v>46224</v>
      </c>
      <c r="B54" s="20" t="n">
        <v>1474</v>
      </c>
      <c r="C54" s="20" t="n">
        <v>-1360</v>
      </c>
      <c r="D54" s="20" t="n">
        <v>-129</v>
      </c>
      <c r="E54" s="20" t="n">
        <v>-115</v>
      </c>
      <c r="F54" s="20" t="n">
        <v>29</v>
      </c>
      <c r="G54" s="20" t="n">
        <v>123</v>
      </c>
      <c r="H54" s="20" t="n">
        <v>0</v>
      </c>
      <c r="I54" s="20" t="n">
        <v>-43</v>
      </c>
      <c r="J54" s="20" t="n">
        <v>-123</v>
      </c>
      <c r="K54" s="20" t="n">
        <v>14</v>
      </c>
      <c r="L54" s="21">
        <f>ABS(C54)</f>
        <v/>
      </c>
      <c r="M54" s="21">
        <f>ABS(D54)</f>
        <v/>
      </c>
      <c r="N54" s="22">
        <f>(C54-AVERAGE(C$4:C$213))/STDEVP(C$4:C$213)</f>
        <v/>
      </c>
      <c r="O54" s="23">
        <f>L54/MEDIAN(L$4:L$213)</f>
        <v/>
      </c>
      <c r="P54" s="24">
        <f>IF(N54&gt;=요약!$C$5,"대량매수",IF(N54&lt;=-요약!$C$5,"대량매도",""))</f>
        <v/>
      </c>
      <c r="Q54" s="22">
        <f>(D54-AVERAGE(D$4:D$213))/STDEVP(D$4:D$213)</f>
        <v/>
      </c>
      <c r="R54" s="23">
        <f>M54/MEDIAN(M$4:M$213)</f>
        <v/>
      </c>
      <c r="S54" s="24">
        <f>IF(Q54&gt;=요약!$C$5,"대량매수",IF(Q54&lt;=-요약!$C$5,"대량매도",""))</f>
        <v/>
      </c>
    </row>
    <row r="55">
      <c r="A55" s="19" t="n">
        <v>46223</v>
      </c>
      <c r="B55" s="20" t="n">
        <v>1907</v>
      </c>
      <c r="C55" s="20" t="n">
        <v>-518</v>
      </c>
      <c r="D55" s="20" t="n">
        <v>-1330</v>
      </c>
      <c r="E55" s="20" t="n">
        <v>-573</v>
      </c>
      <c r="F55" s="20" t="n">
        <v>-42</v>
      </c>
      <c r="G55" s="20" t="n">
        <v>-379</v>
      </c>
      <c r="H55" s="20" t="n">
        <v>-7</v>
      </c>
      <c r="I55" s="20" t="n">
        <v>-22</v>
      </c>
      <c r="J55" s="20" t="n">
        <v>-307</v>
      </c>
      <c r="K55" s="20" t="n">
        <v>-59</v>
      </c>
      <c r="L55" s="21">
        <f>ABS(C55)</f>
        <v/>
      </c>
      <c r="M55" s="21">
        <f>ABS(D55)</f>
        <v/>
      </c>
      <c r="N55" s="22">
        <f>(C55-AVERAGE(C$4:C$213))/STDEVP(C$4:C$213)</f>
        <v/>
      </c>
      <c r="O55" s="23">
        <f>L55/MEDIAN(L$4:L$213)</f>
        <v/>
      </c>
      <c r="P55" s="24">
        <f>IF(N55&gt;=요약!$C$5,"대량매수",IF(N55&lt;=-요약!$C$5,"대량매도",""))</f>
        <v/>
      </c>
      <c r="Q55" s="22">
        <f>(D55-AVERAGE(D$4:D$213))/STDEVP(D$4:D$213)</f>
        <v/>
      </c>
      <c r="R55" s="23">
        <f>M55/MEDIAN(M$4:M$213)</f>
        <v/>
      </c>
      <c r="S55" s="24">
        <f>IF(Q55&gt;=요약!$C$5,"대량매수",IF(Q55&lt;=-요약!$C$5,"대량매도",""))</f>
        <v/>
      </c>
    </row>
    <row r="56">
      <c r="A56" s="19" t="n">
        <v>46219</v>
      </c>
      <c r="B56" s="20" t="n">
        <v>4184</v>
      </c>
      <c r="C56" s="20" t="n">
        <v>-2919</v>
      </c>
      <c r="D56" s="20" t="n">
        <v>-1553</v>
      </c>
      <c r="E56" s="20" t="n">
        <v>-1123</v>
      </c>
      <c r="F56" s="20" t="n">
        <v>-72</v>
      </c>
      <c r="G56" s="20" t="n">
        <v>86</v>
      </c>
      <c r="H56" s="20" t="n">
        <v>-2</v>
      </c>
      <c r="I56" s="20" t="n">
        <v>-26</v>
      </c>
      <c r="J56" s="20" t="n">
        <v>-416</v>
      </c>
      <c r="K56" s="20" t="n">
        <v>287</v>
      </c>
      <c r="L56" s="21">
        <f>ABS(C56)</f>
        <v/>
      </c>
      <c r="M56" s="21">
        <f>ABS(D56)</f>
        <v/>
      </c>
      <c r="N56" s="22">
        <f>(C56-AVERAGE(C$4:C$213))/STDEVP(C$4:C$213)</f>
        <v/>
      </c>
      <c r="O56" s="23">
        <f>L56/MEDIAN(L$4:L$213)</f>
        <v/>
      </c>
      <c r="P56" s="24">
        <f>IF(N56&gt;=요약!$C$5,"대량매수",IF(N56&lt;=-요약!$C$5,"대량매도",""))</f>
        <v/>
      </c>
      <c r="Q56" s="22">
        <f>(D56-AVERAGE(D$4:D$213))/STDEVP(D$4:D$213)</f>
        <v/>
      </c>
      <c r="R56" s="23">
        <f>M56/MEDIAN(M$4:M$213)</f>
        <v/>
      </c>
      <c r="S56" s="24">
        <f>IF(Q56&gt;=요약!$C$5,"대량매수",IF(Q56&lt;=-요약!$C$5,"대량매도",""))</f>
        <v/>
      </c>
    </row>
    <row r="57">
      <c r="A57" s="19" t="n">
        <v>46218</v>
      </c>
      <c r="B57" s="20" t="n">
        <v>-1542</v>
      </c>
      <c r="C57" s="20" t="n">
        <v>231</v>
      </c>
      <c r="D57" s="20" t="n">
        <v>1086</v>
      </c>
      <c r="E57" s="20" t="n">
        <v>-884</v>
      </c>
      <c r="F57" s="20" t="n">
        <v>74</v>
      </c>
      <c r="G57" s="20" t="n">
        <v>1817</v>
      </c>
      <c r="H57" s="20" t="n">
        <v>-4</v>
      </c>
      <c r="I57" s="20" t="n">
        <v>-14</v>
      </c>
      <c r="J57" s="20" t="n">
        <v>97</v>
      </c>
      <c r="K57" s="20" t="n">
        <v>226</v>
      </c>
      <c r="L57" s="21">
        <f>ABS(C57)</f>
        <v/>
      </c>
      <c r="M57" s="21">
        <f>ABS(D57)</f>
        <v/>
      </c>
      <c r="N57" s="22">
        <f>(C57-AVERAGE(C$4:C$213))/STDEVP(C$4:C$213)</f>
        <v/>
      </c>
      <c r="O57" s="23">
        <f>L57/MEDIAN(L$4:L$213)</f>
        <v/>
      </c>
      <c r="P57" s="24">
        <f>IF(N57&gt;=요약!$C$5,"대량매수",IF(N57&lt;=-요약!$C$5,"대량매도",""))</f>
        <v/>
      </c>
      <c r="Q57" s="22">
        <f>(D57-AVERAGE(D$4:D$213))/STDEVP(D$4:D$213)</f>
        <v/>
      </c>
      <c r="R57" s="23">
        <f>M57/MEDIAN(M$4:M$213)</f>
        <v/>
      </c>
      <c r="S57" s="24">
        <f>IF(Q57&gt;=요약!$C$5,"대량매수",IF(Q57&lt;=-요약!$C$5,"대량매도",""))</f>
        <v/>
      </c>
    </row>
    <row r="58">
      <c r="A58" s="19" t="n">
        <v>46217</v>
      </c>
      <c r="B58" s="20" t="n">
        <v>698</v>
      </c>
      <c r="C58" s="20" t="n">
        <v>-2471</v>
      </c>
      <c r="D58" s="20" t="n">
        <v>1587</v>
      </c>
      <c r="E58" s="20" t="n">
        <v>245</v>
      </c>
      <c r="F58" s="20" t="n">
        <v>-43</v>
      </c>
      <c r="G58" s="20" t="n">
        <v>1436</v>
      </c>
      <c r="H58" s="20" t="n">
        <v>-32</v>
      </c>
      <c r="I58" s="20" t="n">
        <v>-11</v>
      </c>
      <c r="J58" s="20" t="n">
        <v>-9</v>
      </c>
      <c r="K58" s="20" t="n">
        <v>186</v>
      </c>
      <c r="L58" s="21">
        <f>ABS(C58)</f>
        <v/>
      </c>
      <c r="M58" s="21">
        <f>ABS(D58)</f>
        <v/>
      </c>
      <c r="N58" s="22">
        <f>(C58-AVERAGE(C$4:C$213))/STDEVP(C$4:C$213)</f>
        <v/>
      </c>
      <c r="O58" s="23">
        <f>L58/MEDIAN(L$4:L$213)</f>
        <v/>
      </c>
      <c r="P58" s="24">
        <f>IF(N58&gt;=요약!$C$5,"대량매수",IF(N58&lt;=-요약!$C$5,"대량매도",""))</f>
        <v/>
      </c>
      <c r="Q58" s="22">
        <f>(D58-AVERAGE(D$4:D$213))/STDEVP(D$4:D$213)</f>
        <v/>
      </c>
      <c r="R58" s="23">
        <f>M58/MEDIAN(M$4:M$213)</f>
        <v/>
      </c>
      <c r="S58" s="24">
        <f>IF(Q58&gt;=요약!$C$5,"대량매수",IF(Q58&lt;=-요약!$C$5,"대량매도",""))</f>
        <v/>
      </c>
    </row>
    <row r="59">
      <c r="A59" s="19" t="n">
        <v>46216</v>
      </c>
      <c r="B59" s="20" t="n">
        <v>1833</v>
      </c>
      <c r="C59" s="20" t="n">
        <v>-3878</v>
      </c>
      <c r="D59" s="20" t="n">
        <v>1843</v>
      </c>
      <c r="E59" s="20" t="n">
        <v>-910</v>
      </c>
      <c r="F59" s="20" t="n">
        <v>30</v>
      </c>
      <c r="G59" s="20" t="n">
        <v>2828</v>
      </c>
      <c r="H59" s="20" t="n">
        <v>0</v>
      </c>
      <c r="I59" s="20" t="n">
        <v>2</v>
      </c>
      <c r="J59" s="20" t="n">
        <v>-107</v>
      </c>
      <c r="K59" s="20" t="n">
        <v>203</v>
      </c>
      <c r="L59" s="21">
        <f>ABS(C59)</f>
        <v/>
      </c>
      <c r="M59" s="21">
        <f>ABS(D59)</f>
        <v/>
      </c>
      <c r="N59" s="22">
        <f>(C59-AVERAGE(C$4:C$213))/STDEVP(C$4:C$213)</f>
        <v/>
      </c>
      <c r="O59" s="23">
        <f>L59/MEDIAN(L$4:L$213)</f>
        <v/>
      </c>
      <c r="P59" s="24">
        <f>IF(N59&gt;=요약!$C$5,"대량매수",IF(N59&lt;=-요약!$C$5,"대량매도",""))</f>
        <v/>
      </c>
      <c r="Q59" s="22">
        <f>(D59-AVERAGE(D$4:D$213))/STDEVP(D$4:D$213)</f>
        <v/>
      </c>
      <c r="R59" s="23">
        <f>M59/MEDIAN(M$4:M$213)</f>
        <v/>
      </c>
      <c r="S59" s="24">
        <f>IF(Q59&gt;=요약!$C$5,"대량매수",IF(Q59&lt;=-요약!$C$5,"대량매도",""))</f>
        <v/>
      </c>
    </row>
    <row r="60">
      <c r="A60" s="19" t="n">
        <v>46213</v>
      </c>
      <c r="B60" s="20" t="n">
        <v>-4213</v>
      </c>
      <c r="C60" s="20" t="n">
        <v>-1563</v>
      </c>
      <c r="D60" s="20" t="n">
        <v>5825</v>
      </c>
      <c r="E60" s="20" t="n">
        <v>1845</v>
      </c>
      <c r="F60" s="20" t="n">
        <v>68</v>
      </c>
      <c r="G60" s="20" t="n">
        <v>3501</v>
      </c>
      <c r="H60" s="20" t="n">
        <v>5</v>
      </c>
      <c r="I60" s="20" t="n">
        <v>-11</v>
      </c>
      <c r="J60" s="20" t="n">
        <v>416</v>
      </c>
      <c r="K60" s="20" t="n">
        <v>-49</v>
      </c>
      <c r="L60" s="21">
        <f>ABS(C60)</f>
        <v/>
      </c>
      <c r="M60" s="21">
        <f>ABS(D60)</f>
        <v/>
      </c>
      <c r="N60" s="22">
        <f>(C60-AVERAGE(C$4:C$213))/STDEVP(C$4:C$213)</f>
        <v/>
      </c>
      <c r="O60" s="23">
        <f>L60/MEDIAN(L$4:L$213)</f>
        <v/>
      </c>
      <c r="P60" s="24">
        <f>IF(N60&gt;=요약!$C$5,"대량매수",IF(N60&lt;=-요약!$C$5,"대량매도",""))</f>
        <v/>
      </c>
      <c r="Q60" s="22">
        <f>(D60-AVERAGE(D$4:D$213))/STDEVP(D$4:D$213)</f>
        <v/>
      </c>
      <c r="R60" s="23">
        <f>M60/MEDIAN(M$4:M$213)</f>
        <v/>
      </c>
      <c r="S60" s="24">
        <f>IF(Q60&gt;=요약!$C$5,"대량매수",IF(Q60&lt;=-요약!$C$5,"대량매도",""))</f>
        <v/>
      </c>
    </row>
    <row r="61">
      <c r="A61" s="19" t="n">
        <v>46212</v>
      </c>
      <c r="B61" s="20" t="n">
        <v>-3217</v>
      </c>
      <c r="C61" s="20" t="n">
        <v>221</v>
      </c>
      <c r="D61" s="20" t="n">
        <v>3081</v>
      </c>
      <c r="E61" s="20" t="n">
        <v>1488</v>
      </c>
      <c r="F61" s="20" t="n">
        <v>83</v>
      </c>
      <c r="G61" s="20" t="n">
        <v>1218</v>
      </c>
      <c r="H61" s="20" t="n">
        <v>-3</v>
      </c>
      <c r="I61" s="20" t="n">
        <v>11</v>
      </c>
      <c r="J61" s="20" t="n">
        <v>284</v>
      </c>
      <c r="K61" s="20" t="n">
        <v>-86</v>
      </c>
      <c r="L61" s="21">
        <f>ABS(C61)</f>
        <v/>
      </c>
      <c r="M61" s="21">
        <f>ABS(D61)</f>
        <v/>
      </c>
      <c r="N61" s="22">
        <f>(C61-AVERAGE(C$4:C$213))/STDEVP(C$4:C$213)</f>
        <v/>
      </c>
      <c r="O61" s="23">
        <f>L61/MEDIAN(L$4:L$213)</f>
        <v/>
      </c>
      <c r="P61" s="24">
        <f>IF(N61&gt;=요약!$C$5,"대량매수",IF(N61&lt;=-요약!$C$5,"대량매도",""))</f>
        <v/>
      </c>
      <c r="Q61" s="22">
        <f>(D61-AVERAGE(D$4:D$213))/STDEVP(D$4:D$213)</f>
        <v/>
      </c>
      <c r="R61" s="23">
        <f>M61/MEDIAN(M$4:M$213)</f>
        <v/>
      </c>
      <c r="S61" s="24">
        <f>IF(Q61&gt;=요약!$C$5,"대량매수",IF(Q61&lt;=-요약!$C$5,"대량매도",""))</f>
        <v/>
      </c>
    </row>
    <row r="62">
      <c r="A62" s="19" t="n">
        <v>46211</v>
      </c>
      <c r="B62" s="20" t="n">
        <v>-1959</v>
      </c>
      <c r="C62" s="20" t="n">
        <v>3376</v>
      </c>
      <c r="D62" s="20" t="n">
        <v>-1453</v>
      </c>
      <c r="E62" s="20" t="n">
        <v>-87</v>
      </c>
      <c r="F62" s="20" t="n">
        <v>-70</v>
      </c>
      <c r="G62" s="20" t="n">
        <v>-999</v>
      </c>
      <c r="H62" s="20" t="n">
        <v>0</v>
      </c>
      <c r="I62" s="20" t="n">
        <v>-9</v>
      </c>
      <c r="J62" s="20" t="n">
        <v>-288</v>
      </c>
      <c r="K62" s="20" t="n">
        <v>36</v>
      </c>
      <c r="L62" s="21">
        <f>ABS(C62)</f>
        <v/>
      </c>
      <c r="M62" s="21">
        <f>ABS(D62)</f>
        <v/>
      </c>
      <c r="N62" s="22">
        <f>(C62-AVERAGE(C$4:C$213))/STDEVP(C$4:C$213)</f>
        <v/>
      </c>
      <c r="O62" s="23">
        <f>L62/MEDIAN(L$4:L$213)</f>
        <v/>
      </c>
      <c r="P62" s="24">
        <f>IF(N62&gt;=요약!$C$5,"대량매수",IF(N62&lt;=-요약!$C$5,"대량매도",""))</f>
        <v/>
      </c>
      <c r="Q62" s="22">
        <f>(D62-AVERAGE(D$4:D$213))/STDEVP(D$4:D$213)</f>
        <v/>
      </c>
      <c r="R62" s="23">
        <f>M62/MEDIAN(M$4:M$213)</f>
        <v/>
      </c>
      <c r="S62" s="24">
        <f>IF(Q62&gt;=요약!$C$5,"대량매수",IF(Q62&lt;=-요약!$C$5,"대량매도",""))</f>
        <v/>
      </c>
    </row>
    <row r="63">
      <c r="A63" s="19" t="n">
        <v>46210</v>
      </c>
      <c r="B63" s="20" t="n">
        <v>-3616</v>
      </c>
      <c r="C63" s="20" t="n">
        <v>3742</v>
      </c>
      <c r="D63" s="20" t="n">
        <v>-100</v>
      </c>
      <c r="E63" s="20" t="n">
        <v>1454</v>
      </c>
      <c r="F63" s="20" t="n">
        <v>-23</v>
      </c>
      <c r="G63" s="20" t="n">
        <v>-1477</v>
      </c>
      <c r="H63" s="20" t="n">
        <v>0</v>
      </c>
      <c r="I63" s="20" t="n">
        <v>-11</v>
      </c>
      <c r="J63" s="20" t="n">
        <v>-43</v>
      </c>
      <c r="K63" s="20" t="n">
        <v>-27</v>
      </c>
      <c r="L63" s="21">
        <f>ABS(C63)</f>
        <v/>
      </c>
      <c r="M63" s="21">
        <f>ABS(D63)</f>
        <v/>
      </c>
      <c r="N63" s="22">
        <f>(C63-AVERAGE(C$4:C$213))/STDEVP(C$4:C$213)</f>
        <v/>
      </c>
      <c r="O63" s="23">
        <f>L63/MEDIAN(L$4:L$213)</f>
        <v/>
      </c>
      <c r="P63" s="24">
        <f>IF(N63&gt;=요약!$C$5,"대량매수",IF(N63&lt;=-요약!$C$5,"대량매도",""))</f>
        <v/>
      </c>
      <c r="Q63" s="22">
        <f>(D63-AVERAGE(D$4:D$213))/STDEVP(D$4:D$213)</f>
        <v/>
      </c>
      <c r="R63" s="23">
        <f>M63/MEDIAN(M$4:M$213)</f>
        <v/>
      </c>
      <c r="S63" s="24">
        <f>IF(Q63&gt;=요약!$C$5,"대량매수",IF(Q63&lt;=-요약!$C$5,"대량매도",""))</f>
        <v/>
      </c>
    </row>
    <row r="64">
      <c r="A64" s="19" t="n">
        <v>46209</v>
      </c>
      <c r="B64" s="20" t="n">
        <v>2591</v>
      </c>
      <c r="C64" s="20" t="n">
        <v>-447</v>
      </c>
      <c r="D64" s="20" t="n">
        <v>-2244</v>
      </c>
      <c r="E64" s="20" t="n">
        <v>-603</v>
      </c>
      <c r="F64" s="20" t="n">
        <v>-145</v>
      </c>
      <c r="G64" s="20" t="n">
        <v>-804</v>
      </c>
      <c r="H64" s="20" t="n">
        <v>-5</v>
      </c>
      <c r="I64" s="20" t="n">
        <v>-73</v>
      </c>
      <c r="J64" s="20" t="n">
        <v>-615</v>
      </c>
      <c r="K64" s="20" t="n">
        <v>100</v>
      </c>
      <c r="L64" s="21">
        <f>ABS(C64)</f>
        <v/>
      </c>
      <c r="M64" s="21">
        <f>ABS(D64)</f>
        <v/>
      </c>
      <c r="N64" s="22">
        <f>(C64-AVERAGE(C$4:C$213))/STDEVP(C$4:C$213)</f>
        <v/>
      </c>
      <c r="O64" s="23">
        <f>L64/MEDIAN(L$4:L$213)</f>
        <v/>
      </c>
      <c r="P64" s="24">
        <f>IF(N64&gt;=요약!$C$5,"대량매수",IF(N64&lt;=-요약!$C$5,"대량매도",""))</f>
        <v/>
      </c>
      <c r="Q64" s="22">
        <f>(D64-AVERAGE(D$4:D$213))/STDEVP(D$4:D$213)</f>
        <v/>
      </c>
      <c r="R64" s="23">
        <f>M64/MEDIAN(M$4:M$213)</f>
        <v/>
      </c>
      <c r="S64" s="24">
        <f>IF(Q64&gt;=요약!$C$5,"대량매수",IF(Q64&lt;=-요약!$C$5,"대량매도",""))</f>
        <v/>
      </c>
    </row>
    <row r="65">
      <c r="A65" s="19" t="n">
        <v>46206</v>
      </c>
      <c r="B65" s="20" t="n">
        <v>1075</v>
      </c>
      <c r="C65" s="20" t="n">
        <v>-202</v>
      </c>
      <c r="D65" s="20" t="n">
        <v>-1037</v>
      </c>
      <c r="E65" s="20" t="n">
        <v>-345</v>
      </c>
      <c r="F65" s="20" t="n">
        <v>-98</v>
      </c>
      <c r="G65" s="20" t="n">
        <v>-323</v>
      </c>
      <c r="H65" s="20" t="n">
        <v>7</v>
      </c>
      <c r="I65" s="20" t="n">
        <v>-1</v>
      </c>
      <c r="J65" s="20" t="n">
        <v>-277</v>
      </c>
      <c r="K65" s="20" t="n">
        <v>164</v>
      </c>
      <c r="L65" s="21">
        <f>ABS(C65)</f>
        <v/>
      </c>
      <c r="M65" s="21">
        <f>ABS(D65)</f>
        <v/>
      </c>
      <c r="N65" s="22">
        <f>(C65-AVERAGE(C$4:C$213))/STDEVP(C$4:C$213)</f>
        <v/>
      </c>
      <c r="O65" s="23">
        <f>L65/MEDIAN(L$4:L$213)</f>
        <v/>
      </c>
      <c r="P65" s="24">
        <f>IF(N65&gt;=요약!$C$5,"대량매수",IF(N65&lt;=-요약!$C$5,"대량매도",""))</f>
        <v/>
      </c>
      <c r="Q65" s="22">
        <f>(D65-AVERAGE(D$4:D$213))/STDEVP(D$4:D$213)</f>
        <v/>
      </c>
      <c r="R65" s="23">
        <f>M65/MEDIAN(M$4:M$213)</f>
        <v/>
      </c>
      <c r="S65" s="24">
        <f>IF(Q65&gt;=요약!$C$5,"대량매수",IF(Q65&lt;=-요약!$C$5,"대량매도",""))</f>
        <v/>
      </c>
    </row>
    <row r="66">
      <c r="A66" s="19" t="n">
        <v>46205</v>
      </c>
      <c r="B66" s="20" t="n">
        <v>4859</v>
      </c>
      <c r="C66" s="20" t="n">
        <v>-1942</v>
      </c>
      <c r="D66" s="20" t="n">
        <v>-3091</v>
      </c>
      <c r="E66" s="20" t="n">
        <v>1680</v>
      </c>
      <c r="F66" s="20" t="n">
        <v>-40</v>
      </c>
      <c r="G66" s="20" t="n">
        <v>-3905</v>
      </c>
      <c r="H66" s="20" t="n">
        <v>4</v>
      </c>
      <c r="I66" s="20" t="n">
        <v>-1</v>
      </c>
      <c r="J66" s="20" t="n">
        <v>-829</v>
      </c>
      <c r="K66" s="20" t="n">
        <v>173</v>
      </c>
      <c r="L66" s="21">
        <f>ABS(C66)</f>
        <v/>
      </c>
      <c r="M66" s="21">
        <f>ABS(D66)</f>
        <v/>
      </c>
      <c r="N66" s="22">
        <f>(C66-AVERAGE(C$4:C$213))/STDEVP(C$4:C$213)</f>
        <v/>
      </c>
      <c r="O66" s="23">
        <f>L66/MEDIAN(L$4:L$213)</f>
        <v/>
      </c>
      <c r="P66" s="24">
        <f>IF(N66&gt;=요약!$C$5,"대량매수",IF(N66&lt;=-요약!$C$5,"대량매도",""))</f>
        <v/>
      </c>
      <c r="Q66" s="22">
        <f>(D66-AVERAGE(D$4:D$213))/STDEVP(D$4:D$213)</f>
        <v/>
      </c>
      <c r="R66" s="23">
        <f>M66/MEDIAN(M$4:M$213)</f>
        <v/>
      </c>
      <c r="S66" s="24">
        <f>IF(Q66&gt;=요약!$C$5,"대량매수",IF(Q66&lt;=-요약!$C$5,"대량매도",""))</f>
        <v/>
      </c>
    </row>
    <row r="67">
      <c r="A67" s="19" t="n">
        <v>46204</v>
      </c>
      <c r="B67" s="20" t="n">
        <v>-1082</v>
      </c>
      <c r="C67" s="20" t="n">
        <v>2472</v>
      </c>
      <c r="D67" s="20" t="n">
        <v>-1255</v>
      </c>
      <c r="E67" s="20" t="n">
        <v>1537</v>
      </c>
      <c r="F67" s="20" t="n">
        <v>49</v>
      </c>
      <c r="G67" s="20" t="n">
        <v>-3331</v>
      </c>
      <c r="H67" s="20" t="n">
        <v>2</v>
      </c>
      <c r="I67" s="20" t="n">
        <v>-12</v>
      </c>
      <c r="J67" s="20" t="n">
        <v>498</v>
      </c>
      <c r="K67" s="20" t="n">
        <v>-134</v>
      </c>
      <c r="L67" s="21">
        <f>ABS(C67)</f>
        <v/>
      </c>
      <c r="M67" s="21">
        <f>ABS(D67)</f>
        <v/>
      </c>
      <c r="N67" s="22">
        <f>(C67-AVERAGE(C$4:C$213))/STDEVP(C$4:C$213)</f>
        <v/>
      </c>
      <c r="O67" s="23">
        <f>L67/MEDIAN(L$4:L$213)</f>
        <v/>
      </c>
      <c r="P67" s="24">
        <f>IF(N67&gt;=요약!$C$5,"대량매수",IF(N67&lt;=-요약!$C$5,"대량매도",""))</f>
        <v/>
      </c>
      <c r="Q67" s="22">
        <f>(D67-AVERAGE(D$4:D$213))/STDEVP(D$4:D$213)</f>
        <v/>
      </c>
      <c r="R67" s="23">
        <f>M67/MEDIAN(M$4:M$213)</f>
        <v/>
      </c>
      <c r="S67" s="24">
        <f>IF(Q67&gt;=요약!$C$5,"대량매수",IF(Q67&lt;=-요약!$C$5,"대량매도",""))</f>
        <v/>
      </c>
    </row>
    <row r="68">
      <c r="A68" s="19" t="n">
        <v>46203</v>
      </c>
      <c r="B68" s="20" t="n">
        <v>3909</v>
      </c>
      <c r="C68" s="20" t="n">
        <v>-2464</v>
      </c>
      <c r="D68" s="20" t="n">
        <v>-1428</v>
      </c>
      <c r="E68" s="20" t="n">
        <v>1559</v>
      </c>
      <c r="F68" s="20" t="n">
        <v>74</v>
      </c>
      <c r="G68" s="20" t="n">
        <v>-3348</v>
      </c>
      <c r="H68" s="20" t="n">
        <v>-5</v>
      </c>
      <c r="I68" s="20" t="n">
        <v>-39</v>
      </c>
      <c r="J68" s="20" t="n">
        <v>330</v>
      </c>
      <c r="K68" s="20" t="n">
        <v>-17</v>
      </c>
      <c r="L68" s="21">
        <f>ABS(C68)</f>
        <v/>
      </c>
      <c r="M68" s="21">
        <f>ABS(D68)</f>
        <v/>
      </c>
      <c r="N68" s="22">
        <f>(C68-AVERAGE(C$4:C$213))/STDEVP(C$4:C$213)</f>
        <v/>
      </c>
      <c r="O68" s="23">
        <f>L68/MEDIAN(L$4:L$213)</f>
        <v/>
      </c>
      <c r="P68" s="24">
        <f>IF(N68&gt;=요약!$C$5,"대량매수",IF(N68&lt;=-요약!$C$5,"대량매도",""))</f>
        <v/>
      </c>
      <c r="Q68" s="22">
        <f>(D68-AVERAGE(D$4:D$213))/STDEVP(D$4:D$213)</f>
        <v/>
      </c>
      <c r="R68" s="23">
        <f>M68/MEDIAN(M$4:M$213)</f>
        <v/>
      </c>
      <c r="S68" s="24">
        <f>IF(Q68&gt;=요약!$C$5,"대량매수",IF(Q68&lt;=-요약!$C$5,"대량매도",""))</f>
        <v/>
      </c>
    </row>
    <row r="69">
      <c r="A69" s="19" t="n">
        <v>46202</v>
      </c>
      <c r="B69" s="20" t="n">
        <v>-5272</v>
      </c>
      <c r="C69" s="20" t="n">
        <v>266</v>
      </c>
      <c r="D69" s="20" t="n">
        <v>5043</v>
      </c>
      <c r="E69" s="20" t="n">
        <v>5305</v>
      </c>
      <c r="F69" s="20" t="n">
        <v>52</v>
      </c>
      <c r="G69" s="20" t="n">
        <v>-861</v>
      </c>
      <c r="H69" s="20" t="n">
        <v>-2</v>
      </c>
      <c r="I69" s="20" t="n">
        <v>-13</v>
      </c>
      <c r="J69" s="20" t="n">
        <v>562</v>
      </c>
      <c r="K69" s="20" t="n">
        <v>-37</v>
      </c>
      <c r="L69" s="21">
        <f>ABS(C69)</f>
        <v/>
      </c>
      <c r="M69" s="21">
        <f>ABS(D69)</f>
        <v/>
      </c>
      <c r="N69" s="22">
        <f>(C69-AVERAGE(C$4:C$213))/STDEVP(C$4:C$213)</f>
        <v/>
      </c>
      <c r="O69" s="23">
        <f>L69/MEDIAN(L$4:L$213)</f>
        <v/>
      </c>
      <c r="P69" s="24">
        <f>IF(N69&gt;=요약!$C$5,"대량매수",IF(N69&lt;=-요약!$C$5,"대량매도",""))</f>
        <v/>
      </c>
      <c r="Q69" s="22">
        <f>(D69-AVERAGE(D$4:D$213))/STDEVP(D$4:D$213)</f>
        <v/>
      </c>
      <c r="R69" s="23">
        <f>M69/MEDIAN(M$4:M$213)</f>
        <v/>
      </c>
      <c r="S69" s="24">
        <f>IF(Q69&gt;=요약!$C$5,"대량매수",IF(Q69&lt;=-요약!$C$5,"대량매도",""))</f>
        <v/>
      </c>
    </row>
    <row r="70">
      <c r="A70" s="19" t="n">
        <v>46199</v>
      </c>
      <c r="B70" s="20" t="n">
        <v>-6688</v>
      </c>
      <c r="C70" s="20" t="n">
        <v>3510</v>
      </c>
      <c r="D70" s="20" t="n">
        <v>3084</v>
      </c>
      <c r="E70" s="20" t="n">
        <v>3049</v>
      </c>
      <c r="F70" s="20" t="n">
        <v>16</v>
      </c>
      <c r="G70" s="20" t="n">
        <v>-244</v>
      </c>
      <c r="H70" s="20" t="n">
        <v>-3</v>
      </c>
      <c r="I70" s="20" t="n">
        <v>-65</v>
      </c>
      <c r="J70" s="20" t="n">
        <v>331</v>
      </c>
      <c r="K70" s="20" t="n">
        <v>95</v>
      </c>
      <c r="L70" s="21">
        <f>ABS(C70)</f>
        <v/>
      </c>
      <c r="M70" s="21">
        <f>ABS(D70)</f>
        <v/>
      </c>
      <c r="N70" s="22">
        <f>(C70-AVERAGE(C$4:C$213))/STDEVP(C$4:C$213)</f>
        <v/>
      </c>
      <c r="O70" s="23">
        <f>L70/MEDIAN(L$4:L$213)</f>
        <v/>
      </c>
      <c r="P70" s="24">
        <f>IF(N70&gt;=요약!$C$5,"대량매수",IF(N70&lt;=-요약!$C$5,"대량매도",""))</f>
        <v/>
      </c>
      <c r="Q70" s="22">
        <f>(D70-AVERAGE(D$4:D$213))/STDEVP(D$4:D$213)</f>
        <v/>
      </c>
      <c r="R70" s="23">
        <f>M70/MEDIAN(M$4:M$213)</f>
        <v/>
      </c>
      <c r="S70" s="24">
        <f>IF(Q70&gt;=요약!$C$5,"대량매수",IF(Q70&lt;=-요약!$C$5,"대량매도",""))</f>
        <v/>
      </c>
    </row>
    <row r="71">
      <c r="A71" s="19" t="n">
        <v>46198</v>
      </c>
      <c r="B71" s="20" t="n">
        <v>1452</v>
      </c>
      <c r="C71" s="20" t="n">
        <v>212</v>
      </c>
      <c r="D71" s="20" t="n">
        <v>-1707</v>
      </c>
      <c r="E71" s="20" t="n">
        <v>-1713</v>
      </c>
      <c r="F71" s="20" t="n">
        <v>11</v>
      </c>
      <c r="G71" s="20" t="n">
        <v>-155</v>
      </c>
      <c r="H71" s="20" t="n">
        <v>-1</v>
      </c>
      <c r="I71" s="20" t="n">
        <v>-2</v>
      </c>
      <c r="J71" s="20" t="n">
        <v>153</v>
      </c>
      <c r="K71" s="20" t="n">
        <v>43</v>
      </c>
      <c r="L71" s="21">
        <f>ABS(C71)</f>
        <v/>
      </c>
      <c r="M71" s="21">
        <f>ABS(D71)</f>
        <v/>
      </c>
      <c r="N71" s="22">
        <f>(C71-AVERAGE(C$4:C$213))/STDEVP(C$4:C$213)</f>
        <v/>
      </c>
      <c r="O71" s="23">
        <f>L71/MEDIAN(L$4:L$213)</f>
        <v/>
      </c>
      <c r="P71" s="24">
        <f>IF(N71&gt;=요약!$C$5,"대량매수",IF(N71&lt;=-요약!$C$5,"대량매도",""))</f>
        <v/>
      </c>
      <c r="Q71" s="22">
        <f>(D71-AVERAGE(D$4:D$213))/STDEVP(D$4:D$213)</f>
        <v/>
      </c>
      <c r="R71" s="23">
        <f>M71/MEDIAN(M$4:M$213)</f>
        <v/>
      </c>
      <c r="S71" s="24">
        <f>IF(Q71&gt;=요약!$C$5,"대량매수",IF(Q71&lt;=-요약!$C$5,"대량매도",""))</f>
        <v/>
      </c>
    </row>
    <row r="72">
      <c r="A72" s="19" t="n">
        <v>46197</v>
      </c>
      <c r="B72" s="20" t="n">
        <v>-3184</v>
      </c>
      <c r="C72" s="20" t="n">
        <v>-321</v>
      </c>
      <c r="D72" s="20" t="n">
        <v>3363</v>
      </c>
      <c r="E72" s="20" t="n">
        <v>2777</v>
      </c>
      <c r="F72" s="20" t="n">
        <v>8</v>
      </c>
      <c r="G72" s="20" t="n">
        <v>292</v>
      </c>
      <c r="H72" s="20" t="n">
        <v>3</v>
      </c>
      <c r="I72" s="20" t="n">
        <v>6</v>
      </c>
      <c r="J72" s="20" t="n">
        <v>277</v>
      </c>
      <c r="K72" s="20" t="n">
        <v>141</v>
      </c>
      <c r="L72" s="21">
        <f>ABS(C72)</f>
        <v/>
      </c>
      <c r="M72" s="21">
        <f>ABS(D72)</f>
        <v/>
      </c>
      <c r="N72" s="22">
        <f>(C72-AVERAGE(C$4:C$213))/STDEVP(C$4:C$213)</f>
        <v/>
      </c>
      <c r="O72" s="23">
        <f>L72/MEDIAN(L$4:L$213)</f>
        <v/>
      </c>
      <c r="P72" s="24">
        <f>IF(N72&gt;=요약!$C$5,"대량매수",IF(N72&lt;=-요약!$C$5,"대량매도",""))</f>
        <v/>
      </c>
      <c r="Q72" s="22">
        <f>(D72-AVERAGE(D$4:D$213))/STDEVP(D$4:D$213)</f>
        <v/>
      </c>
      <c r="R72" s="23">
        <f>M72/MEDIAN(M$4:M$213)</f>
        <v/>
      </c>
      <c r="S72" s="24">
        <f>IF(Q72&gt;=요약!$C$5,"대량매수",IF(Q72&lt;=-요약!$C$5,"대량매도",""))</f>
        <v/>
      </c>
    </row>
    <row r="73">
      <c r="A73" s="19" t="n">
        <v>46196</v>
      </c>
      <c r="B73" s="20" t="n">
        <v>-3979</v>
      </c>
      <c r="C73" s="20" t="n">
        <v>2746</v>
      </c>
      <c r="D73" s="20" t="n">
        <v>1329</v>
      </c>
      <c r="E73" s="20" t="n">
        <v>3423</v>
      </c>
      <c r="F73" s="20" t="n">
        <v>-28</v>
      </c>
      <c r="G73" s="20" t="n">
        <v>-1940</v>
      </c>
      <c r="H73" s="20" t="n">
        <v>-7</v>
      </c>
      <c r="I73" s="20" t="n">
        <v>-13</v>
      </c>
      <c r="J73" s="20" t="n">
        <v>-107</v>
      </c>
      <c r="K73" s="20" t="n">
        <v>-96</v>
      </c>
      <c r="L73" s="21">
        <f>ABS(C73)</f>
        <v/>
      </c>
      <c r="M73" s="21">
        <f>ABS(D73)</f>
        <v/>
      </c>
      <c r="N73" s="22">
        <f>(C73-AVERAGE(C$4:C$213))/STDEVP(C$4:C$213)</f>
        <v/>
      </c>
      <c r="O73" s="23">
        <f>L73/MEDIAN(L$4:L$213)</f>
        <v/>
      </c>
      <c r="P73" s="24">
        <f>IF(N73&gt;=요약!$C$5,"대량매수",IF(N73&lt;=-요약!$C$5,"대량매도",""))</f>
        <v/>
      </c>
      <c r="Q73" s="22">
        <f>(D73-AVERAGE(D$4:D$213))/STDEVP(D$4:D$213)</f>
        <v/>
      </c>
      <c r="R73" s="23">
        <f>M73/MEDIAN(M$4:M$213)</f>
        <v/>
      </c>
      <c r="S73" s="24">
        <f>IF(Q73&gt;=요약!$C$5,"대량매수",IF(Q73&lt;=-요약!$C$5,"대량매도",""))</f>
        <v/>
      </c>
    </row>
    <row r="74">
      <c r="A74" s="19" t="n">
        <v>46195</v>
      </c>
      <c r="B74" s="20" t="n">
        <v>-4634</v>
      </c>
      <c r="C74" s="20" t="n">
        <v>3152</v>
      </c>
      <c r="D74" s="20" t="n">
        <v>1456</v>
      </c>
      <c r="E74" s="20" t="n">
        <v>1434</v>
      </c>
      <c r="F74" s="20" t="n">
        <v>3</v>
      </c>
      <c r="G74" s="20" t="n">
        <v>-246</v>
      </c>
      <c r="H74" s="20" t="n">
        <v>3</v>
      </c>
      <c r="I74" s="20" t="n">
        <v>-68</v>
      </c>
      <c r="J74" s="20" t="n">
        <v>330</v>
      </c>
      <c r="K74" s="20" t="n">
        <v>26</v>
      </c>
      <c r="L74" s="21">
        <f>ABS(C74)</f>
        <v/>
      </c>
      <c r="M74" s="21">
        <f>ABS(D74)</f>
        <v/>
      </c>
      <c r="N74" s="22">
        <f>(C74-AVERAGE(C$4:C$213))/STDEVP(C$4:C$213)</f>
        <v/>
      </c>
      <c r="O74" s="23">
        <f>L74/MEDIAN(L$4:L$213)</f>
        <v/>
      </c>
      <c r="P74" s="24">
        <f>IF(N74&gt;=요약!$C$5,"대량매수",IF(N74&lt;=-요약!$C$5,"대량매도",""))</f>
        <v/>
      </c>
      <c r="Q74" s="22">
        <f>(D74-AVERAGE(D$4:D$213))/STDEVP(D$4:D$213)</f>
        <v/>
      </c>
      <c r="R74" s="23">
        <f>M74/MEDIAN(M$4:M$213)</f>
        <v/>
      </c>
      <c r="S74" s="24">
        <f>IF(Q74&gt;=요약!$C$5,"대량매수",IF(Q74&lt;=-요약!$C$5,"대량매도",""))</f>
        <v/>
      </c>
    </row>
    <row r="75">
      <c r="A75" s="19" t="n">
        <v>46192</v>
      </c>
      <c r="B75" s="20" t="n">
        <v>750</v>
      </c>
      <c r="C75" s="20" t="n">
        <v>4977</v>
      </c>
      <c r="D75" s="20" t="n">
        <v>-5838</v>
      </c>
      <c r="E75" s="20" t="n">
        <v>-2801</v>
      </c>
      <c r="F75" s="20" t="n">
        <v>-161</v>
      </c>
      <c r="G75" s="20" t="n">
        <v>-2744</v>
      </c>
      <c r="H75" s="20" t="n">
        <v>-6</v>
      </c>
      <c r="I75" s="20" t="n">
        <v>-2</v>
      </c>
      <c r="J75" s="20" t="n">
        <v>-125</v>
      </c>
      <c r="K75" s="20" t="n">
        <v>112</v>
      </c>
      <c r="L75" s="21">
        <f>ABS(C75)</f>
        <v/>
      </c>
      <c r="M75" s="21">
        <f>ABS(D75)</f>
        <v/>
      </c>
      <c r="N75" s="22">
        <f>(C75-AVERAGE(C$4:C$213))/STDEVP(C$4:C$213)</f>
        <v/>
      </c>
      <c r="O75" s="23">
        <f>L75/MEDIAN(L$4:L$213)</f>
        <v/>
      </c>
      <c r="P75" s="24">
        <f>IF(N75&gt;=요약!$C$5,"대량매수",IF(N75&lt;=-요약!$C$5,"대량매도",""))</f>
        <v/>
      </c>
      <c r="Q75" s="22">
        <f>(D75-AVERAGE(D$4:D$213))/STDEVP(D$4:D$213)</f>
        <v/>
      </c>
      <c r="R75" s="23">
        <f>M75/MEDIAN(M$4:M$213)</f>
        <v/>
      </c>
      <c r="S75" s="24">
        <f>IF(Q75&gt;=요약!$C$5,"대량매수",IF(Q75&lt;=-요약!$C$5,"대량매도",""))</f>
        <v/>
      </c>
    </row>
    <row r="76">
      <c r="A76" s="19" t="n">
        <v>46191</v>
      </c>
      <c r="B76" s="20" t="n">
        <v>3842</v>
      </c>
      <c r="C76" s="20" t="n">
        <v>-1235</v>
      </c>
      <c r="D76" s="20" t="n">
        <v>-2659</v>
      </c>
      <c r="E76" s="20" t="n">
        <v>-2138</v>
      </c>
      <c r="F76" s="20" t="n">
        <v>-115</v>
      </c>
      <c r="G76" s="20" t="n">
        <v>-372</v>
      </c>
      <c r="H76" s="20" t="n">
        <v>-8</v>
      </c>
      <c r="I76" s="20" t="n">
        <v>-60</v>
      </c>
      <c r="J76" s="20" t="n">
        <v>34</v>
      </c>
      <c r="K76" s="20" t="n">
        <v>52</v>
      </c>
      <c r="L76" s="21">
        <f>ABS(C76)</f>
        <v/>
      </c>
      <c r="M76" s="21">
        <f>ABS(D76)</f>
        <v/>
      </c>
      <c r="N76" s="22">
        <f>(C76-AVERAGE(C$4:C$213))/STDEVP(C$4:C$213)</f>
        <v/>
      </c>
      <c r="O76" s="23">
        <f>L76/MEDIAN(L$4:L$213)</f>
        <v/>
      </c>
      <c r="P76" s="24">
        <f>IF(N76&gt;=요약!$C$5,"대량매수",IF(N76&lt;=-요약!$C$5,"대량매도",""))</f>
        <v/>
      </c>
      <c r="Q76" s="22">
        <f>(D76-AVERAGE(D$4:D$213))/STDEVP(D$4:D$213)</f>
        <v/>
      </c>
      <c r="R76" s="23">
        <f>M76/MEDIAN(M$4:M$213)</f>
        <v/>
      </c>
      <c r="S76" s="24">
        <f>IF(Q76&gt;=요약!$C$5,"대량매수",IF(Q76&lt;=-요약!$C$5,"대량매도",""))</f>
        <v/>
      </c>
    </row>
    <row r="77">
      <c r="A77" s="19" t="n">
        <v>46190</v>
      </c>
      <c r="B77" s="20" t="n">
        <v>-335</v>
      </c>
      <c r="C77" s="20" t="n">
        <v>400</v>
      </c>
      <c r="D77" s="20" t="n">
        <v>-101</v>
      </c>
      <c r="E77" s="20" t="n">
        <v>1330</v>
      </c>
      <c r="F77" s="20" t="n">
        <v>32</v>
      </c>
      <c r="G77" s="20" t="n">
        <v>-1741</v>
      </c>
      <c r="H77" s="20" t="n">
        <v>3</v>
      </c>
      <c r="I77" s="20" t="n">
        <v>-36</v>
      </c>
      <c r="J77" s="20" t="n">
        <v>311</v>
      </c>
      <c r="K77" s="20" t="n">
        <v>36</v>
      </c>
      <c r="L77" s="21">
        <f>ABS(C77)</f>
        <v/>
      </c>
      <c r="M77" s="21">
        <f>ABS(D77)</f>
        <v/>
      </c>
      <c r="N77" s="22">
        <f>(C77-AVERAGE(C$4:C$213))/STDEVP(C$4:C$213)</f>
        <v/>
      </c>
      <c r="O77" s="23">
        <f>L77/MEDIAN(L$4:L$213)</f>
        <v/>
      </c>
      <c r="P77" s="24">
        <f>IF(N77&gt;=요약!$C$5,"대량매수",IF(N77&lt;=-요약!$C$5,"대량매도",""))</f>
        <v/>
      </c>
      <c r="Q77" s="22">
        <f>(D77-AVERAGE(D$4:D$213))/STDEVP(D$4:D$213)</f>
        <v/>
      </c>
      <c r="R77" s="23">
        <f>M77/MEDIAN(M$4:M$213)</f>
        <v/>
      </c>
      <c r="S77" s="24">
        <f>IF(Q77&gt;=요약!$C$5,"대량매수",IF(Q77&lt;=-요약!$C$5,"대량매도",""))</f>
        <v/>
      </c>
    </row>
    <row r="78">
      <c r="A78" s="19" t="n">
        <v>46189</v>
      </c>
      <c r="B78" s="20" t="n">
        <v>7907</v>
      </c>
      <c r="C78" s="20" t="n">
        <v>-3095</v>
      </c>
      <c r="D78" s="20" t="n">
        <v>-4630</v>
      </c>
      <c r="E78" s="20" t="n">
        <v>-2087</v>
      </c>
      <c r="F78" s="20" t="n">
        <v>-41</v>
      </c>
      <c r="G78" s="20" t="n">
        <v>-2353</v>
      </c>
      <c r="H78" s="20" t="n">
        <v>1</v>
      </c>
      <c r="I78" s="20" t="n">
        <v>-40</v>
      </c>
      <c r="J78" s="20" t="n">
        <v>-110</v>
      </c>
      <c r="K78" s="20" t="n">
        <v>-183</v>
      </c>
      <c r="L78" s="21">
        <f>ABS(C78)</f>
        <v/>
      </c>
      <c r="M78" s="21">
        <f>ABS(D78)</f>
        <v/>
      </c>
      <c r="N78" s="22">
        <f>(C78-AVERAGE(C$4:C$213))/STDEVP(C$4:C$213)</f>
        <v/>
      </c>
      <c r="O78" s="23">
        <f>L78/MEDIAN(L$4:L$213)</f>
        <v/>
      </c>
      <c r="P78" s="24">
        <f>IF(N78&gt;=요약!$C$5,"대량매수",IF(N78&lt;=-요약!$C$5,"대량매도",""))</f>
        <v/>
      </c>
      <c r="Q78" s="22">
        <f>(D78-AVERAGE(D$4:D$213))/STDEVP(D$4:D$213)</f>
        <v/>
      </c>
      <c r="R78" s="23">
        <f>M78/MEDIAN(M$4:M$213)</f>
        <v/>
      </c>
      <c r="S78" s="24">
        <f>IF(Q78&gt;=요약!$C$5,"대량매수",IF(Q78&lt;=-요약!$C$5,"대량매도",""))</f>
        <v/>
      </c>
    </row>
    <row r="79">
      <c r="A79" s="19" t="n">
        <v>46188</v>
      </c>
      <c r="B79" s="20" t="n">
        <v>6162</v>
      </c>
      <c r="C79" s="20" t="n">
        <v>-8164</v>
      </c>
      <c r="D79" s="20" t="n">
        <v>2166</v>
      </c>
      <c r="E79" s="20" t="n">
        <v>725</v>
      </c>
      <c r="F79" s="20" t="n">
        <v>-92</v>
      </c>
      <c r="G79" s="20" t="n">
        <v>1853</v>
      </c>
      <c r="H79" s="20" t="n">
        <v>1</v>
      </c>
      <c r="I79" s="20" t="n">
        <v>-15</v>
      </c>
      <c r="J79" s="20" t="n">
        <v>-306</v>
      </c>
      <c r="K79" s="20" t="n">
        <v>-164</v>
      </c>
      <c r="L79" s="21">
        <f>ABS(C79)</f>
        <v/>
      </c>
      <c r="M79" s="21">
        <f>ABS(D79)</f>
        <v/>
      </c>
      <c r="N79" s="22">
        <f>(C79-AVERAGE(C$4:C$213))/STDEVP(C$4:C$213)</f>
        <v/>
      </c>
      <c r="O79" s="23">
        <f>L79/MEDIAN(L$4:L$213)</f>
        <v/>
      </c>
      <c r="P79" s="24">
        <f>IF(N79&gt;=요약!$C$5,"대량매수",IF(N79&lt;=-요약!$C$5,"대량매도",""))</f>
        <v/>
      </c>
      <c r="Q79" s="22">
        <f>(D79-AVERAGE(D$4:D$213))/STDEVP(D$4:D$213)</f>
        <v/>
      </c>
      <c r="R79" s="23">
        <f>M79/MEDIAN(M$4:M$213)</f>
        <v/>
      </c>
      <c r="S79" s="24">
        <f>IF(Q79&gt;=요약!$C$5,"대량매수",IF(Q79&lt;=-요약!$C$5,"대량매도",""))</f>
        <v/>
      </c>
    </row>
    <row r="80">
      <c r="A80" s="19" t="n">
        <v>46185</v>
      </c>
      <c r="B80" s="20" t="n">
        <v>-9416</v>
      </c>
      <c r="C80" s="20" t="n">
        <v>2769</v>
      </c>
      <c r="D80" s="20" t="n">
        <v>6315</v>
      </c>
      <c r="E80" s="20" t="n">
        <v>-7010</v>
      </c>
      <c r="F80" s="20" t="n">
        <v>91</v>
      </c>
      <c r="G80" s="20" t="n">
        <v>12612</v>
      </c>
      <c r="H80" s="20" t="n">
        <v>3</v>
      </c>
      <c r="I80" s="20" t="n">
        <v>-29</v>
      </c>
      <c r="J80" s="20" t="n">
        <v>648</v>
      </c>
      <c r="K80" s="20" t="n">
        <v>332</v>
      </c>
      <c r="L80" s="21">
        <f>ABS(C80)</f>
        <v/>
      </c>
      <c r="M80" s="21">
        <f>ABS(D80)</f>
        <v/>
      </c>
      <c r="N80" s="22">
        <f>(C80-AVERAGE(C$4:C$213))/STDEVP(C$4:C$213)</f>
        <v/>
      </c>
      <c r="O80" s="23">
        <f>L80/MEDIAN(L$4:L$213)</f>
        <v/>
      </c>
      <c r="P80" s="24">
        <f>IF(N80&gt;=요약!$C$5,"대량매수",IF(N80&lt;=-요약!$C$5,"대량매도",""))</f>
        <v/>
      </c>
      <c r="Q80" s="22">
        <f>(D80-AVERAGE(D$4:D$213))/STDEVP(D$4:D$213)</f>
        <v/>
      </c>
      <c r="R80" s="23">
        <f>M80/MEDIAN(M$4:M$213)</f>
        <v/>
      </c>
      <c r="S80" s="24">
        <f>IF(Q80&gt;=요약!$C$5,"대량매수",IF(Q80&lt;=-요약!$C$5,"대량매도",""))</f>
        <v/>
      </c>
    </row>
    <row r="81">
      <c r="A81" s="19" t="n">
        <v>46184</v>
      </c>
      <c r="B81" s="20" t="n">
        <v>-3634</v>
      </c>
      <c r="C81" s="20" t="n">
        <v>-3601</v>
      </c>
      <c r="D81" s="20" t="n">
        <v>7149</v>
      </c>
      <c r="E81" s="20" t="n">
        <v>6212</v>
      </c>
      <c r="F81" s="20" t="n">
        <v>202</v>
      </c>
      <c r="G81" s="20" t="n">
        <v>-143</v>
      </c>
      <c r="H81" s="20" t="n">
        <v>15</v>
      </c>
      <c r="I81" s="20" t="n">
        <v>-16</v>
      </c>
      <c r="J81" s="20" t="n">
        <v>878</v>
      </c>
      <c r="K81" s="20" t="n">
        <v>86</v>
      </c>
      <c r="L81" s="21">
        <f>ABS(C81)</f>
        <v/>
      </c>
      <c r="M81" s="21">
        <f>ABS(D81)</f>
        <v/>
      </c>
      <c r="N81" s="22">
        <f>(C81-AVERAGE(C$4:C$213))/STDEVP(C$4:C$213)</f>
        <v/>
      </c>
      <c r="O81" s="23">
        <f>L81/MEDIAN(L$4:L$213)</f>
        <v/>
      </c>
      <c r="P81" s="24">
        <f>IF(N81&gt;=요약!$C$5,"대량매수",IF(N81&lt;=-요약!$C$5,"대량매도",""))</f>
        <v/>
      </c>
      <c r="Q81" s="22">
        <f>(D81-AVERAGE(D$4:D$213))/STDEVP(D$4:D$213)</f>
        <v/>
      </c>
      <c r="R81" s="23">
        <f>M81/MEDIAN(M$4:M$213)</f>
        <v/>
      </c>
      <c r="S81" s="24">
        <f>IF(Q81&gt;=요약!$C$5,"대량매수",IF(Q81&lt;=-요약!$C$5,"대량매도",""))</f>
        <v/>
      </c>
    </row>
    <row r="82">
      <c r="A82" s="19" t="n">
        <v>46183</v>
      </c>
      <c r="B82" s="20" t="n">
        <v>1167</v>
      </c>
      <c r="C82" s="20" t="n">
        <v>1420</v>
      </c>
      <c r="D82" s="20" t="n">
        <v>-1125</v>
      </c>
      <c r="E82" s="20" t="n">
        <v>-1075</v>
      </c>
      <c r="F82" s="20" t="n">
        <v>43</v>
      </c>
      <c r="G82" s="20" t="n">
        <v>199</v>
      </c>
      <c r="H82" s="20" t="n">
        <v>18</v>
      </c>
      <c r="I82" s="20" t="n">
        <v>-114</v>
      </c>
      <c r="J82" s="20" t="n">
        <v>-196</v>
      </c>
      <c r="K82" s="20" t="n">
        <v>-1462</v>
      </c>
      <c r="L82" s="21">
        <f>ABS(C82)</f>
        <v/>
      </c>
      <c r="M82" s="21">
        <f>ABS(D82)</f>
        <v/>
      </c>
      <c r="N82" s="22">
        <f>(C82-AVERAGE(C$4:C$213))/STDEVP(C$4:C$213)</f>
        <v/>
      </c>
      <c r="O82" s="23">
        <f>L82/MEDIAN(L$4:L$213)</f>
        <v/>
      </c>
      <c r="P82" s="24">
        <f>IF(N82&gt;=요약!$C$5,"대량매수",IF(N82&lt;=-요약!$C$5,"대량매도",""))</f>
        <v/>
      </c>
      <c r="Q82" s="22">
        <f>(D82-AVERAGE(D$4:D$213))/STDEVP(D$4:D$213)</f>
        <v/>
      </c>
      <c r="R82" s="23">
        <f>M82/MEDIAN(M$4:M$213)</f>
        <v/>
      </c>
      <c r="S82" s="24">
        <f>IF(Q82&gt;=요약!$C$5,"대량매수",IF(Q82&lt;=-요약!$C$5,"대량매도",""))</f>
        <v/>
      </c>
    </row>
    <row r="83">
      <c r="A83" s="19" t="n">
        <v>46182</v>
      </c>
      <c r="B83" s="20" t="n">
        <v>-5112</v>
      </c>
      <c r="C83" s="20" t="n">
        <v>3126</v>
      </c>
      <c r="D83" s="20" t="n">
        <v>1996</v>
      </c>
      <c r="E83" s="20" t="n">
        <v>293</v>
      </c>
      <c r="F83" s="20" t="n">
        <v>35</v>
      </c>
      <c r="G83" s="20" t="n">
        <v>1403</v>
      </c>
      <c r="H83" s="20" t="n">
        <v>-3</v>
      </c>
      <c r="I83" s="20" t="n">
        <v>3</v>
      </c>
      <c r="J83" s="20" t="n">
        <v>266</v>
      </c>
      <c r="K83" s="20" t="n">
        <v>-9</v>
      </c>
      <c r="L83" s="21">
        <f>ABS(C83)</f>
        <v/>
      </c>
      <c r="M83" s="21">
        <f>ABS(D83)</f>
        <v/>
      </c>
      <c r="N83" s="22">
        <f>(C83-AVERAGE(C$4:C$213))/STDEVP(C$4:C$213)</f>
        <v/>
      </c>
      <c r="O83" s="23">
        <f>L83/MEDIAN(L$4:L$213)</f>
        <v/>
      </c>
      <c r="P83" s="24">
        <f>IF(N83&gt;=요약!$C$5,"대량매수",IF(N83&lt;=-요약!$C$5,"대량매도",""))</f>
        <v/>
      </c>
      <c r="Q83" s="22">
        <f>(D83-AVERAGE(D$4:D$213))/STDEVP(D$4:D$213)</f>
        <v/>
      </c>
      <c r="R83" s="23">
        <f>M83/MEDIAN(M$4:M$213)</f>
        <v/>
      </c>
      <c r="S83" s="24">
        <f>IF(Q83&gt;=요약!$C$5,"대량매수",IF(Q83&lt;=-요약!$C$5,"대량매도",""))</f>
        <v/>
      </c>
    </row>
    <row r="84">
      <c r="A84" s="19" t="n">
        <v>46181</v>
      </c>
      <c r="B84" s="20" t="n">
        <v>-1245</v>
      </c>
      <c r="C84" s="20" t="n">
        <v>2976</v>
      </c>
      <c r="D84" s="20" t="n">
        <v>-1466</v>
      </c>
      <c r="E84" s="20" t="n">
        <v>759</v>
      </c>
      <c r="F84" s="20" t="n">
        <v>-113</v>
      </c>
      <c r="G84" s="20" t="n">
        <v>-1357</v>
      </c>
      <c r="H84" s="20" t="n">
        <v>-24</v>
      </c>
      <c r="I84" s="20" t="n">
        <v>-190</v>
      </c>
      <c r="J84" s="20" t="n">
        <v>-541</v>
      </c>
      <c r="K84" s="20" t="n">
        <v>-265</v>
      </c>
      <c r="L84" s="21">
        <f>ABS(C84)</f>
        <v/>
      </c>
      <c r="M84" s="21">
        <f>ABS(D84)</f>
        <v/>
      </c>
      <c r="N84" s="22">
        <f>(C84-AVERAGE(C$4:C$213))/STDEVP(C$4:C$213)</f>
        <v/>
      </c>
      <c r="O84" s="23">
        <f>L84/MEDIAN(L$4:L$213)</f>
        <v/>
      </c>
      <c r="P84" s="24">
        <f>IF(N84&gt;=요약!$C$5,"대량매수",IF(N84&lt;=-요약!$C$5,"대량매도",""))</f>
        <v/>
      </c>
      <c r="Q84" s="22">
        <f>(D84-AVERAGE(D$4:D$213))/STDEVP(D$4:D$213)</f>
        <v/>
      </c>
      <c r="R84" s="23">
        <f>M84/MEDIAN(M$4:M$213)</f>
        <v/>
      </c>
      <c r="S84" s="24">
        <f>IF(Q84&gt;=요약!$C$5,"대량매수",IF(Q84&lt;=-요약!$C$5,"대량매도",""))</f>
        <v/>
      </c>
    </row>
    <row r="85">
      <c r="A85" s="19" t="n">
        <v>46178</v>
      </c>
      <c r="B85" s="20" t="n">
        <v>337</v>
      </c>
      <c r="C85" s="20" t="n">
        <v>-1878</v>
      </c>
      <c r="D85" s="20" t="n">
        <v>1508</v>
      </c>
      <c r="E85" s="20" t="n">
        <v>-324</v>
      </c>
      <c r="F85" s="20" t="n">
        <v>37</v>
      </c>
      <c r="G85" s="20" t="n">
        <v>1529</v>
      </c>
      <c r="H85" s="20" t="n">
        <v>-3</v>
      </c>
      <c r="I85" s="20" t="n">
        <v>-43</v>
      </c>
      <c r="J85" s="20" t="n">
        <v>311</v>
      </c>
      <c r="K85" s="20" t="n">
        <v>33</v>
      </c>
      <c r="L85" s="21">
        <f>ABS(C85)</f>
        <v/>
      </c>
      <c r="M85" s="21">
        <f>ABS(D85)</f>
        <v/>
      </c>
      <c r="N85" s="22">
        <f>(C85-AVERAGE(C$4:C$213))/STDEVP(C$4:C$213)</f>
        <v/>
      </c>
      <c r="O85" s="23">
        <f>L85/MEDIAN(L$4:L$213)</f>
        <v/>
      </c>
      <c r="P85" s="24">
        <f>IF(N85&gt;=요약!$C$5,"대량매수",IF(N85&lt;=-요약!$C$5,"대량매도",""))</f>
        <v/>
      </c>
      <c r="Q85" s="22">
        <f>(D85-AVERAGE(D$4:D$213))/STDEVP(D$4:D$213)</f>
        <v/>
      </c>
      <c r="R85" s="23">
        <f>M85/MEDIAN(M$4:M$213)</f>
        <v/>
      </c>
      <c r="S85" s="24">
        <f>IF(Q85&gt;=요약!$C$5,"대량매수",IF(Q85&lt;=-요약!$C$5,"대량매도",""))</f>
        <v/>
      </c>
    </row>
    <row r="86">
      <c r="A86" s="19" t="n">
        <v>46177</v>
      </c>
      <c r="B86" s="20" t="n">
        <v>-1633</v>
      </c>
      <c r="C86" s="20" t="n">
        <v>-424</v>
      </c>
      <c r="D86" s="20" t="n">
        <v>2066</v>
      </c>
      <c r="E86" s="20" t="n">
        <v>562</v>
      </c>
      <c r="F86" s="20" t="n">
        <v>46</v>
      </c>
      <c r="G86" s="20" t="n">
        <v>1293</v>
      </c>
      <c r="H86" s="20" t="n">
        <v>9</v>
      </c>
      <c r="I86" s="20" t="n">
        <v>-42</v>
      </c>
      <c r="J86" s="20" t="n">
        <v>199</v>
      </c>
      <c r="K86" s="20" t="n">
        <v>-9</v>
      </c>
      <c r="L86" s="21">
        <f>ABS(C86)</f>
        <v/>
      </c>
      <c r="M86" s="21">
        <f>ABS(D86)</f>
        <v/>
      </c>
      <c r="N86" s="22">
        <f>(C86-AVERAGE(C$4:C$213))/STDEVP(C$4:C$213)</f>
        <v/>
      </c>
      <c r="O86" s="23">
        <f>L86/MEDIAN(L$4:L$213)</f>
        <v/>
      </c>
      <c r="P86" s="24">
        <f>IF(N86&gt;=요약!$C$5,"대량매수",IF(N86&lt;=-요약!$C$5,"대량매도",""))</f>
        <v/>
      </c>
      <c r="Q86" s="22">
        <f>(D86-AVERAGE(D$4:D$213))/STDEVP(D$4:D$213)</f>
        <v/>
      </c>
      <c r="R86" s="23">
        <f>M86/MEDIAN(M$4:M$213)</f>
        <v/>
      </c>
      <c r="S86" s="24">
        <f>IF(Q86&gt;=요약!$C$5,"대량매수",IF(Q86&lt;=-요약!$C$5,"대량매도",""))</f>
        <v/>
      </c>
    </row>
    <row r="87">
      <c r="A87" s="19" t="n">
        <v>46175</v>
      </c>
      <c r="B87" s="20" t="n">
        <v>-4090</v>
      </c>
      <c r="C87" s="20" t="n">
        <v>3401</v>
      </c>
      <c r="D87" s="20" t="n">
        <v>1327</v>
      </c>
      <c r="E87" s="20" t="n">
        <v>2445</v>
      </c>
      <c r="F87" s="20" t="n">
        <v>-70</v>
      </c>
      <c r="G87" s="20" t="n">
        <v>-551</v>
      </c>
      <c r="H87" s="20" t="n">
        <v>-3</v>
      </c>
      <c r="I87" s="20" t="n">
        <v>-15</v>
      </c>
      <c r="J87" s="20" t="n">
        <v>-479</v>
      </c>
      <c r="K87" s="20" t="n">
        <v>-637</v>
      </c>
      <c r="L87" s="21">
        <f>ABS(C87)</f>
        <v/>
      </c>
      <c r="M87" s="21">
        <f>ABS(D87)</f>
        <v/>
      </c>
      <c r="N87" s="22">
        <f>(C87-AVERAGE(C$4:C$213))/STDEVP(C$4:C$213)</f>
        <v/>
      </c>
      <c r="O87" s="23">
        <f>L87/MEDIAN(L$4:L$213)</f>
        <v/>
      </c>
      <c r="P87" s="24">
        <f>IF(N87&gt;=요약!$C$5,"대량매수",IF(N87&lt;=-요약!$C$5,"대량매도",""))</f>
        <v/>
      </c>
      <c r="Q87" s="22">
        <f>(D87-AVERAGE(D$4:D$213))/STDEVP(D$4:D$213)</f>
        <v/>
      </c>
      <c r="R87" s="23">
        <f>M87/MEDIAN(M$4:M$213)</f>
        <v/>
      </c>
      <c r="S87" s="24">
        <f>IF(Q87&gt;=요약!$C$5,"대량매수",IF(Q87&lt;=-요약!$C$5,"대량매도",""))</f>
        <v/>
      </c>
    </row>
    <row r="88">
      <c r="A88" s="19" t="n">
        <v>46174</v>
      </c>
      <c r="B88" s="20" t="n">
        <v>-4916</v>
      </c>
      <c r="C88" s="20" t="n">
        <v>8064</v>
      </c>
      <c r="D88" s="20" t="n">
        <v>-2912</v>
      </c>
      <c r="E88" s="20" t="n">
        <v>1104</v>
      </c>
      <c r="F88" s="20" t="n">
        <v>-335</v>
      </c>
      <c r="G88" s="20" t="n">
        <v>-2787</v>
      </c>
      <c r="H88" s="20" t="n">
        <v>-6</v>
      </c>
      <c r="I88" s="20" t="n">
        <v>-35</v>
      </c>
      <c r="J88" s="20" t="n">
        <v>-853</v>
      </c>
      <c r="K88" s="20" t="n">
        <v>-236</v>
      </c>
      <c r="L88" s="21">
        <f>ABS(C88)</f>
        <v/>
      </c>
      <c r="M88" s="21">
        <f>ABS(D88)</f>
        <v/>
      </c>
      <c r="N88" s="22">
        <f>(C88-AVERAGE(C$4:C$213))/STDEVP(C$4:C$213)</f>
        <v/>
      </c>
      <c r="O88" s="23">
        <f>L88/MEDIAN(L$4:L$213)</f>
        <v/>
      </c>
      <c r="P88" s="24">
        <f>IF(N88&gt;=요약!$C$5,"대량매수",IF(N88&lt;=-요약!$C$5,"대량매도",""))</f>
        <v/>
      </c>
      <c r="Q88" s="22">
        <f>(D88-AVERAGE(D$4:D$213))/STDEVP(D$4:D$213)</f>
        <v/>
      </c>
      <c r="R88" s="23">
        <f>M88/MEDIAN(M$4:M$213)</f>
        <v/>
      </c>
      <c r="S88" s="24">
        <f>IF(Q88&gt;=요약!$C$5,"대량매수",IF(Q88&lt;=-요약!$C$5,"대량매도",""))</f>
        <v/>
      </c>
    </row>
    <row r="89">
      <c r="A89" s="19" t="n">
        <v>46171</v>
      </c>
      <c r="B89" s="20" t="n">
        <v>3094</v>
      </c>
      <c r="C89" s="20" t="n">
        <v>115</v>
      </c>
      <c r="D89" s="20" t="n">
        <v>-3140</v>
      </c>
      <c r="E89" s="20" t="n">
        <v>-882</v>
      </c>
      <c r="F89" s="20" t="n">
        <v>-232</v>
      </c>
      <c r="G89" s="20" t="n">
        <v>-1427</v>
      </c>
      <c r="H89" s="20" t="n">
        <v>-5</v>
      </c>
      <c r="I89" s="20" t="n">
        <v>-180</v>
      </c>
      <c r="J89" s="20" t="n">
        <v>-415</v>
      </c>
      <c r="K89" s="20" t="n">
        <v>-69</v>
      </c>
      <c r="L89" s="21">
        <f>ABS(C89)</f>
        <v/>
      </c>
      <c r="M89" s="21">
        <f>ABS(D89)</f>
        <v/>
      </c>
      <c r="N89" s="22">
        <f>(C89-AVERAGE(C$4:C$213))/STDEVP(C$4:C$213)</f>
        <v/>
      </c>
      <c r="O89" s="23">
        <f>L89/MEDIAN(L$4:L$213)</f>
        <v/>
      </c>
      <c r="P89" s="24">
        <f>IF(N89&gt;=요약!$C$5,"대량매수",IF(N89&lt;=-요약!$C$5,"대량매도",""))</f>
        <v/>
      </c>
      <c r="Q89" s="22">
        <f>(D89-AVERAGE(D$4:D$213))/STDEVP(D$4:D$213)</f>
        <v/>
      </c>
      <c r="R89" s="23">
        <f>M89/MEDIAN(M$4:M$213)</f>
        <v/>
      </c>
      <c r="S89" s="24">
        <f>IF(Q89&gt;=요약!$C$5,"대량매수",IF(Q89&lt;=-요약!$C$5,"대량매도",""))</f>
        <v/>
      </c>
    </row>
    <row r="90">
      <c r="A90" s="19" t="n">
        <v>46170</v>
      </c>
      <c r="B90" s="20" t="n">
        <v>381</v>
      </c>
      <c r="C90" s="20" t="n">
        <v>3821</v>
      </c>
      <c r="D90" s="20" t="n">
        <v>-4011</v>
      </c>
      <c r="E90" s="20" t="n">
        <v>-1905</v>
      </c>
      <c r="F90" s="20" t="n">
        <v>-22</v>
      </c>
      <c r="G90" s="20" t="n">
        <v>-1775</v>
      </c>
      <c r="H90" s="20" t="n">
        <v>-10</v>
      </c>
      <c r="I90" s="20" t="n">
        <v>-25</v>
      </c>
      <c r="J90" s="20" t="n">
        <v>-275</v>
      </c>
      <c r="K90" s="20" t="n">
        <v>-192</v>
      </c>
      <c r="L90" s="21">
        <f>ABS(C90)</f>
        <v/>
      </c>
      <c r="M90" s="21">
        <f>ABS(D90)</f>
        <v/>
      </c>
      <c r="N90" s="22">
        <f>(C90-AVERAGE(C$4:C$213))/STDEVP(C$4:C$213)</f>
        <v/>
      </c>
      <c r="O90" s="23">
        <f>L90/MEDIAN(L$4:L$213)</f>
        <v/>
      </c>
      <c r="P90" s="24">
        <f>IF(N90&gt;=요약!$C$5,"대량매수",IF(N90&lt;=-요약!$C$5,"대량매도",""))</f>
        <v/>
      </c>
      <c r="Q90" s="22">
        <f>(D90-AVERAGE(D$4:D$213))/STDEVP(D$4:D$213)</f>
        <v/>
      </c>
      <c r="R90" s="23">
        <f>M90/MEDIAN(M$4:M$213)</f>
        <v/>
      </c>
      <c r="S90" s="24">
        <f>IF(Q90&gt;=요약!$C$5,"대량매수",IF(Q90&lt;=-요약!$C$5,"대량매도",""))</f>
        <v/>
      </c>
    </row>
    <row r="91">
      <c r="A91" s="19" t="n">
        <v>46169</v>
      </c>
      <c r="B91" s="20" t="n">
        <v>6315</v>
      </c>
      <c r="C91" s="20" t="n">
        <v>-847</v>
      </c>
      <c r="D91" s="20" t="n">
        <v>-5411</v>
      </c>
      <c r="E91" s="20" t="n">
        <v>-4915</v>
      </c>
      <c r="F91" s="20" t="n">
        <v>-103</v>
      </c>
      <c r="G91" s="20" t="n">
        <v>-632</v>
      </c>
      <c r="H91" s="20" t="n">
        <v>-2</v>
      </c>
      <c r="I91" s="20" t="n">
        <v>-132</v>
      </c>
      <c r="J91" s="20" t="n">
        <v>373</v>
      </c>
      <c r="K91" s="20" t="n">
        <v>-57</v>
      </c>
      <c r="L91" s="21">
        <f>ABS(C91)</f>
        <v/>
      </c>
      <c r="M91" s="21">
        <f>ABS(D91)</f>
        <v/>
      </c>
      <c r="N91" s="22">
        <f>(C91-AVERAGE(C$4:C$213))/STDEVP(C$4:C$213)</f>
        <v/>
      </c>
      <c r="O91" s="23">
        <f>L91/MEDIAN(L$4:L$213)</f>
        <v/>
      </c>
      <c r="P91" s="24">
        <f>IF(N91&gt;=요약!$C$5,"대량매수",IF(N91&lt;=-요약!$C$5,"대량매도",""))</f>
        <v/>
      </c>
      <c r="Q91" s="22">
        <f>(D91-AVERAGE(D$4:D$213))/STDEVP(D$4:D$213)</f>
        <v/>
      </c>
      <c r="R91" s="23">
        <f>M91/MEDIAN(M$4:M$213)</f>
        <v/>
      </c>
      <c r="S91" s="24">
        <f>IF(Q91&gt;=요약!$C$5,"대량매수",IF(Q91&lt;=-요약!$C$5,"대량매도",""))</f>
        <v/>
      </c>
    </row>
    <row r="92">
      <c r="A92" s="19" t="n">
        <v>46168</v>
      </c>
      <c r="B92" s="20" t="n">
        <v>2306</v>
      </c>
      <c r="C92" s="20" t="n">
        <v>-1031</v>
      </c>
      <c r="D92" s="20" t="n">
        <v>-256</v>
      </c>
      <c r="E92" s="20" t="n">
        <v>-758</v>
      </c>
      <c r="F92" s="20" t="n">
        <v>-62</v>
      </c>
      <c r="G92" s="20" t="n">
        <v>533</v>
      </c>
      <c r="H92" s="20" t="n">
        <v>2</v>
      </c>
      <c r="I92" s="20" t="n">
        <v>-125</v>
      </c>
      <c r="J92" s="20" t="n">
        <v>153</v>
      </c>
      <c r="K92" s="20" t="n">
        <v>-1018</v>
      </c>
      <c r="L92" s="21">
        <f>ABS(C92)</f>
        <v/>
      </c>
      <c r="M92" s="21">
        <f>ABS(D92)</f>
        <v/>
      </c>
      <c r="N92" s="22">
        <f>(C92-AVERAGE(C$4:C$213))/STDEVP(C$4:C$213)</f>
        <v/>
      </c>
      <c r="O92" s="23">
        <f>L92/MEDIAN(L$4:L$213)</f>
        <v/>
      </c>
      <c r="P92" s="24">
        <f>IF(N92&gt;=요약!$C$5,"대량매수",IF(N92&lt;=-요약!$C$5,"대량매도",""))</f>
        <v/>
      </c>
      <c r="Q92" s="22">
        <f>(D92-AVERAGE(D$4:D$213))/STDEVP(D$4:D$213)</f>
        <v/>
      </c>
      <c r="R92" s="23">
        <f>M92/MEDIAN(M$4:M$213)</f>
        <v/>
      </c>
      <c r="S92" s="24">
        <f>IF(Q92&gt;=요약!$C$5,"대량매수",IF(Q92&lt;=-요약!$C$5,"대량매도",""))</f>
        <v/>
      </c>
    </row>
    <row r="93">
      <c r="A93" s="19" t="n">
        <v>46164</v>
      </c>
      <c r="B93" s="20" t="n">
        <v>-8793</v>
      </c>
      <c r="C93" s="20" t="n">
        <v>5975</v>
      </c>
      <c r="D93" s="20" t="n">
        <v>3010</v>
      </c>
      <c r="E93" s="20" t="n">
        <v>1006</v>
      </c>
      <c r="F93" s="20" t="n">
        <v>129</v>
      </c>
      <c r="G93" s="20" t="n">
        <v>1232</v>
      </c>
      <c r="H93" s="20" t="n">
        <v>18</v>
      </c>
      <c r="I93" s="20" t="n">
        <v>-234</v>
      </c>
      <c r="J93" s="20" t="n">
        <v>858</v>
      </c>
      <c r="K93" s="20" t="n">
        <v>-192</v>
      </c>
      <c r="L93" s="21">
        <f>ABS(C93)</f>
        <v/>
      </c>
      <c r="M93" s="21">
        <f>ABS(D93)</f>
        <v/>
      </c>
      <c r="N93" s="22">
        <f>(C93-AVERAGE(C$4:C$213))/STDEVP(C$4:C$213)</f>
        <v/>
      </c>
      <c r="O93" s="23">
        <f>L93/MEDIAN(L$4:L$213)</f>
        <v/>
      </c>
      <c r="P93" s="24">
        <f>IF(N93&gt;=요약!$C$5,"대량매수",IF(N93&lt;=-요약!$C$5,"대량매도",""))</f>
        <v/>
      </c>
      <c r="Q93" s="22">
        <f>(D93-AVERAGE(D$4:D$213))/STDEVP(D$4:D$213)</f>
        <v/>
      </c>
      <c r="R93" s="23">
        <f>M93/MEDIAN(M$4:M$213)</f>
        <v/>
      </c>
      <c r="S93" s="24">
        <f>IF(Q93&gt;=요약!$C$5,"대량매수",IF(Q93&lt;=-요약!$C$5,"대량매도",""))</f>
        <v/>
      </c>
    </row>
    <row r="94">
      <c r="A94" s="19" t="n">
        <v>46163</v>
      </c>
      <c r="B94" s="20" t="n">
        <v>-2509</v>
      </c>
      <c r="C94" s="20" t="n">
        <v>1366</v>
      </c>
      <c r="D94" s="20" t="n">
        <v>1391</v>
      </c>
      <c r="E94" s="20" t="n">
        <v>337</v>
      </c>
      <c r="F94" s="20" t="n">
        <v>1</v>
      </c>
      <c r="G94" s="20" t="n">
        <v>1253</v>
      </c>
      <c r="H94" s="20" t="n">
        <v>-5</v>
      </c>
      <c r="I94" s="20" t="n">
        <v>-135</v>
      </c>
      <c r="J94" s="20" t="n">
        <v>-60</v>
      </c>
      <c r="K94" s="20" t="n">
        <v>-248</v>
      </c>
      <c r="L94" s="21">
        <f>ABS(C94)</f>
        <v/>
      </c>
      <c r="M94" s="21">
        <f>ABS(D94)</f>
        <v/>
      </c>
      <c r="N94" s="22">
        <f>(C94-AVERAGE(C$4:C$213))/STDEVP(C$4:C$213)</f>
        <v/>
      </c>
      <c r="O94" s="23">
        <f>L94/MEDIAN(L$4:L$213)</f>
        <v/>
      </c>
      <c r="P94" s="24">
        <f>IF(N94&gt;=요약!$C$5,"대량매수",IF(N94&lt;=-요약!$C$5,"대량매도",""))</f>
        <v/>
      </c>
      <c r="Q94" s="22">
        <f>(D94-AVERAGE(D$4:D$213))/STDEVP(D$4:D$213)</f>
        <v/>
      </c>
      <c r="R94" s="23">
        <f>M94/MEDIAN(M$4:M$213)</f>
        <v/>
      </c>
      <c r="S94" s="24">
        <f>IF(Q94&gt;=요약!$C$5,"대량매수",IF(Q94&lt;=-요약!$C$5,"대량매도",""))</f>
        <v/>
      </c>
    </row>
    <row r="95">
      <c r="A95" s="19" t="n">
        <v>46162</v>
      </c>
      <c r="B95" s="20" t="n">
        <v>-580</v>
      </c>
      <c r="C95" s="20" t="n">
        <v>2009</v>
      </c>
      <c r="D95" s="20" t="n">
        <v>-1367</v>
      </c>
      <c r="E95" s="20" t="n">
        <v>-317</v>
      </c>
      <c r="F95" s="20" t="n">
        <v>8</v>
      </c>
      <c r="G95" s="20" t="n">
        <v>-557</v>
      </c>
      <c r="H95" s="20" t="n">
        <v>7</v>
      </c>
      <c r="I95" s="20" t="n">
        <v>-143</v>
      </c>
      <c r="J95" s="20" t="n">
        <v>-366</v>
      </c>
      <c r="K95" s="20" t="n">
        <v>-62</v>
      </c>
      <c r="L95" s="21">
        <f>ABS(C95)</f>
        <v/>
      </c>
      <c r="M95" s="21">
        <f>ABS(D95)</f>
        <v/>
      </c>
      <c r="N95" s="22">
        <f>(C95-AVERAGE(C$4:C$213))/STDEVP(C$4:C$213)</f>
        <v/>
      </c>
      <c r="O95" s="23">
        <f>L95/MEDIAN(L$4:L$213)</f>
        <v/>
      </c>
      <c r="P95" s="24">
        <f>IF(N95&gt;=요약!$C$5,"대량매수",IF(N95&lt;=-요약!$C$5,"대량매도",""))</f>
        <v/>
      </c>
      <c r="Q95" s="22">
        <f>(D95-AVERAGE(D$4:D$213))/STDEVP(D$4:D$213)</f>
        <v/>
      </c>
      <c r="R95" s="23">
        <f>M95/MEDIAN(M$4:M$213)</f>
        <v/>
      </c>
      <c r="S95" s="24">
        <f>IF(Q95&gt;=요약!$C$5,"대량매수",IF(Q95&lt;=-요약!$C$5,"대량매도",""))</f>
        <v/>
      </c>
    </row>
    <row r="96">
      <c r="A96" s="19" t="n">
        <v>46161</v>
      </c>
      <c r="B96" s="20" t="n">
        <v>1032</v>
      </c>
      <c r="C96" s="20" t="n">
        <v>1307</v>
      </c>
      <c r="D96" s="20" t="n">
        <v>-659</v>
      </c>
      <c r="E96" s="20" t="n">
        <v>933</v>
      </c>
      <c r="F96" s="20" t="n">
        <v>26</v>
      </c>
      <c r="G96" s="20" t="n">
        <v>-1038</v>
      </c>
      <c r="H96" s="20" t="n">
        <v>-6</v>
      </c>
      <c r="I96" s="20" t="n">
        <v>-18</v>
      </c>
      <c r="J96" s="20" t="n">
        <v>-557</v>
      </c>
      <c r="K96" s="20" t="n">
        <v>-1680</v>
      </c>
      <c r="L96" s="21">
        <f>ABS(C96)</f>
        <v/>
      </c>
      <c r="M96" s="21">
        <f>ABS(D96)</f>
        <v/>
      </c>
      <c r="N96" s="22">
        <f>(C96-AVERAGE(C$4:C$213))/STDEVP(C$4:C$213)</f>
        <v/>
      </c>
      <c r="O96" s="23">
        <f>L96/MEDIAN(L$4:L$213)</f>
        <v/>
      </c>
      <c r="P96" s="24">
        <f>IF(N96&gt;=요약!$C$5,"대량매수",IF(N96&lt;=-요약!$C$5,"대량매도",""))</f>
        <v/>
      </c>
      <c r="Q96" s="22">
        <f>(D96-AVERAGE(D$4:D$213))/STDEVP(D$4:D$213)</f>
        <v/>
      </c>
      <c r="R96" s="23">
        <f>M96/MEDIAN(M$4:M$213)</f>
        <v/>
      </c>
      <c r="S96" s="24">
        <f>IF(Q96&gt;=요약!$C$5,"대량매수",IF(Q96&lt;=-요약!$C$5,"대량매도",""))</f>
        <v/>
      </c>
    </row>
    <row r="97">
      <c r="A97" s="19" t="n">
        <v>46160</v>
      </c>
      <c r="B97" s="20" t="n">
        <v>-84</v>
      </c>
      <c r="C97" s="20" t="n">
        <v>2369</v>
      </c>
      <c r="D97" s="20" t="n">
        <v>-2540</v>
      </c>
      <c r="E97" s="20" t="n">
        <v>-908</v>
      </c>
      <c r="F97" s="20" t="n">
        <v>-57</v>
      </c>
      <c r="G97" s="20" t="n">
        <v>-778</v>
      </c>
      <c r="H97" s="20" t="n">
        <v>-13</v>
      </c>
      <c r="I97" s="20" t="n">
        <v>-85</v>
      </c>
      <c r="J97" s="20" t="n">
        <v>-699</v>
      </c>
      <c r="K97" s="20" t="n">
        <v>255</v>
      </c>
      <c r="L97" s="21">
        <f>ABS(C97)</f>
        <v/>
      </c>
      <c r="M97" s="21">
        <f>ABS(D97)</f>
        <v/>
      </c>
      <c r="N97" s="22">
        <f>(C97-AVERAGE(C$4:C$213))/STDEVP(C$4:C$213)</f>
        <v/>
      </c>
      <c r="O97" s="23">
        <f>L97/MEDIAN(L$4:L$213)</f>
        <v/>
      </c>
      <c r="P97" s="24">
        <f>IF(N97&gt;=요약!$C$5,"대량매수",IF(N97&lt;=-요약!$C$5,"대량매도",""))</f>
        <v/>
      </c>
      <c r="Q97" s="22">
        <f>(D97-AVERAGE(D$4:D$213))/STDEVP(D$4:D$213)</f>
        <v/>
      </c>
      <c r="R97" s="23">
        <f>M97/MEDIAN(M$4:M$213)</f>
        <v/>
      </c>
      <c r="S97" s="24">
        <f>IF(Q97&gt;=요약!$C$5,"대량매수",IF(Q97&lt;=-요약!$C$5,"대량매도",""))</f>
        <v/>
      </c>
    </row>
    <row r="98">
      <c r="A98" s="19" t="n">
        <v>46157</v>
      </c>
      <c r="B98" s="20" t="n">
        <v>-1448</v>
      </c>
      <c r="C98" s="20" t="n">
        <v>4081</v>
      </c>
      <c r="D98" s="20" t="n">
        <v>-1673</v>
      </c>
      <c r="E98" s="20" t="n">
        <v>-240</v>
      </c>
      <c r="F98" s="20" t="n">
        <v>-17</v>
      </c>
      <c r="G98" s="20" t="n">
        <v>-978</v>
      </c>
      <c r="H98" s="20" t="n">
        <v>-17</v>
      </c>
      <c r="I98" s="20" t="n">
        <v>-148</v>
      </c>
      <c r="J98" s="20" t="n">
        <v>-273</v>
      </c>
      <c r="K98" s="20" t="n">
        <v>-959</v>
      </c>
      <c r="L98" s="21">
        <f>ABS(C98)</f>
        <v/>
      </c>
      <c r="M98" s="21">
        <f>ABS(D98)</f>
        <v/>
      </c>
      <c r="N98" s="22">
        <f>(C98-AVERAGE(C$4:C$213))/STDEVP(C$4:C$213)</f>
        <v/>
      </c>
      <c r="O98" s="23">
        <f>L98/MEDIAN(L$4:L$213)</f>
        <v/>
      </c>
      <c r="P98" s="24">
        <f>IF(N98&gt;=요약!$C$5,"대량매수",IF(N98&lt;=-요약!$C$5,"대량매도",""))</f>
        <v/>
      </c>
      <c r="Q98" s="22">
        <f>(D98-AVERAGE(D$4:D$213))/STDEVP(D$4:D$213)</f>
        <v/>
      </c>
      <c r="R98" s="23">
        <f>M98/MEDIAN(M$4:M$213)</f>
        <v/>
      </c>
      <c r="S98" s="24">
        <f>IF(Q98&gt;=요약!$C$5,"대량매수",IF(Q98&lt;=-요약!$C$5,"대량매도",""))</f>
        <v/>
      </c>
    </row>
    <row r="99">
      <c r="A99" s="19" t="n">
        <v>46156</v>
      </c>
      <c r="B99" s="20" t="n">
        <v>911</v>
      </c>
      <c r="C99" s="20" t="n">
        <v>-1349</v>
      </c>
      <c r="D99" s="20" t="n">
        <v>595</v>
      </c>
      <c r="E99" s="20" t="n">
        <v>9</v>
      </c>
      <c r="F99" s="20" t="n">
        <v>22</v>
      </c>
      <c r="G99" s="20" t="n">
        <v>747</v>
      </c>
      <c r="H99" s="20" t="n">
        <v>91</v>
      </c>
      <c r="I99" s="20" t="n">
        <v>-303</v>
      </c>
      <c r="J99" s="20" t="n">
        <v>29</v>
      </c>
      <c r="K99" s="20" t="n">
        <v>-158</v>
      </c>
      <c r="L99" s="21">
        <f>ABS(C99)</f>
        <v/>
      </c>
      <c r="M99" s="21">
        <f>ABS(D99)</f>
        <v/>
      </c>
      <c r="N99" s="22">
        <f>(C99-AVERAGE(C$4:C$213))/STDEVP(C$4:C$213)</f>
        <v/>
      </c>
      <c r="O99" s="23">
        <f>L99/MEDIAN(L$4:L$213)</f>
        <v/>
      </c>
      <c r="P99" s="24">
        <f>IF(N99&gt;=요약!$C$5,"대량매수",IF(N99&lt;=-요약!$C$5,"대량매도",""))</f>
        <v/>
      </c>
      <c r="Q99" s="22">
        <f>(D99-AVERAGE(D$4:D$213))/STDEVP(D$4:D$213)</f>
        <v/>
      </c>
      <c r="R99" s="23">
        <f>M99/MEDIAN(M$4:M$213)</f>
        <v/>
      </c>
      <c r="S99" s="24">
        <f>IF(Q99&gt;=요약!$C$5,"대량매수",IF(Q99&lt;=-요약!$C$5,"대량매도",""))</f>
        <v/>
      </c>
    </row>
    <row r="100">
      <c r="A100" s="19" t="n">
        <v>46155</v>
      </c>
      <c r="B100" s="20" t="n">
        <v>5899</v>
      </c>
      <c r="C100" s="20" t="n">
        <v>-6016</v>
      </c>
      <c r="D100" s="20" t="n">
        <v>39</v>
      </c>
      <c r="E100" s="20" t="n">
        <v>315</v>
      </c>
      <c r="F100" s="20" t="n">
        <v>-27</v>
      </c>
      <c r="G100" s="20" t="n">
        <v>365</v>
      </c>
      <c r="H100" s="20" t="n">
        <v>4</v>
      </c>
      <c r="I100" s="20" t="n">
        <v>-86</v>
      </c>
      <c r="J100" s="20" t="n">
        <v>-532</v>
      </c>
      <c r="K100" s="20" t="n">
        <v>78</v>
      </c>
      <c r="L100" s="21">
        <f>ABS(C100)</f>
        <v/>
      </c>
      <c r="M100" s="21">
        <f>ABS(D100)</f>
        <v/>
      </c>
      <c r="N100" s="22">
        <f>(C100-AVERAGE(C$4:C$213))/STDEVP(C$4:C$213)</f>
        <v/>
      </c>
      <c r="O100" s="23">
        <f>L100/MEDIAN(L$4:L$213)</f>
        <v/>
      </c>
      <c r="P100" s="24">
        <f>IF(N100&gt;=요약!$C$5,"대량매수",IF(N100&lt;=-요약!$C$5,"대량매도",""))</f>
        <v/>
      </c>
      <c r="Q100" s="22">
        <f>(D100-AVERAGE(D$4:D$213))/STDEVP(D$4:D$213)</f>
        <v/>
      </c>
      <c r="R100" s="23">
        <f>M100/MEDIAN(M$4:M$213)</f>
        <v/>
      </c>
      <c r="S100" s="24">
        <f>IF(Q100&gt;=요약!$C$5,"대량매수",IF(Q100&lt;=-요약!$C$5,"대량매도",""))</f>
        <v/>
      </c>
    </row>
    <row r="101">
      <c r="A101" s="19" t="n">
        <v>46154</v>
      </c>
      <c r="B101" s="20" t="n">
        <v>-2234</v>
      </c>
      <c r="C101" s="20" t="n">
        <v>5216</v>
      </c>
      <c r="D101" s="20" t="n">
        <v>-2584</v>
      </c>
      <c r="E101" s="20" t="n">
        <v>1319</v>
      </c>
      <c r="F101" s="20" t="n">
        <v>2</v>
      </c>
      <c r="G101" s="20" t="n">
        <v>-3803</v>
      </c>
      <c r="H101" s="20" t="n">
        <v>-7</v>
      </c>
      <c r="I101" s="20" t="n">
        <v>-7</v>
      </c>
      <c r="J101" s="20" t="n">
        <v>-88</v>
      </c>
      <c r="K101" s="20" t="n">
        <v>-399</v>
      </c>
      <c r="L101" s="21">
        <f>ABS(C101)</f>
        <v/>
      </c>
      <c r="M101" s="21">
        <f>ABS(D101)</f>
        <v/>
      </c>
      <c r="N101" s="22">
        <f>(C101-AVERAGE(C$4:C$213))/STDEVP(C$4:C$213)</f>
        <v/>
      </c>
      <c r="O101" s="23">
        <f>L101/MEDIAN(L$4:L$213)</f>
        <v/>
      </c>
      <c r="P101" s="24">
        <f>IF(N101&gt;=요약!$C$5,"대량매수",IF(N101&lt;=-요약!$C$5,"대량매도",""))</f>
        <v/>
      </c>
      <c r="Q101" s="22">
        <f>(D101-AVERAGE(D$4:D$213))/STDEVP(D$4:D$213)</f>
        <v/>
      </c>
      <c r="R101" s="23">
        <f>M101/MEDIAN(M$4:M$213)</f>
        <v/>
      </c>
      <c r="S101" s="24">
        <f>IF(Q101&gt;=요약!$C$5,"대량매수",IF(Q101&lt;=-요약!$C$5,"대량매도",""))</f>
        <v/>
      </c>
    </row>
    <row r="102">
      <c r="A102" s="19" t="n">
        <v>46153</v>
      </c>
      <c r="B102" s="20" t="n">
        <v>847</v>
      </c>
      <c r="C102" s="20" t="n">
        <v>1160</v>
      </c>
      <c r="D102" s="20" t="n">
        <v>-1630</v>
      </c>
      <c r="E102" s="20" t="n">
        <v>-2598</v>
      </c>
      <c r="F102" s="20" t="n">
        <v>-184</v>
      </c>
      <c r="G102" s="20" t="n">
        <v>1090</v>
      </c>
      <c r="H102" s="20" t="n">
        <v>-4</v>
      </c>
      <c r="I102" s="20" t="n">
        <v>-77</v>
      </c>
      <c r="J102" s="20" t="n">
        <v>144</v>
      </c>
      <c r="K102" s="20" t="n">
        <v>-377</v>
      </c>
      <c r="L102" s="21">
        <f>ABS(C102)</f>
        <v/>
      </c>
      <c r="M102" s="21">
        <f>ABS(D102)</f>
        <v/>
      </c>
      <c r="N102" s="22">
        <f>(C102-AVERAGE(C$4:C$213))/STDEVP(C$4:C$213)</f>
        <v/>
      </c>
      <c r="O102" s="23">
        <f>L102/MEDIAN(L$4:L$213)</f>
        <v/>
      </c>
      <c r="P102" s="24">
        <f>IF(N102&gt;=요약!$C$5,"대량매수",IF(N102&lt;=-요약!$C$5,"대량매도",""))</f>
        <v/>
      </c>
      <c r="Q102" s="22">
        <f>(D102-AVERAGE(D$4:D$213))/STDEVP(D$4:D$213)</f>
        <v/>
      </c>
      <c r="R102" s="23">
        <f>M102/MEDIAN(M$4:M$213)</f>
        <v/>
      </c>
      <c r="S102" s="24">
        <f>IF(Q102&gt;=요약!$C$5,"대량매수",IF(Q102&lt;=-요약!$C$5,"대량매도",""))</f>
        <v/>
      </c>
    </row>
    <row r="103">
      <c r="A103" s="19" t="n">
        <v>46150</v>
      </c>
      <c r="B103" s="20" t="n">
        <v>-4694</v>
      </c>
      <c r="C103" s="20" t="n">
        <v>4046</v>
      </c>
      <c r="D103" s="20" t="n">
        <v>803</v>
      </c>
      <c r="E103" s="20" t="n">
        <v>681</v>
      </c>
      <c r="F103" s="20" t="n">
        <v>-42</v>
      </c>
      <c r="G103" s="20" t="n">
        <v>402</v>
      </c>
      <c r="H103" s="20" t="n">
        <v>-10</v>
      </c>
      <c r="I103" s="20" t="n">
        <v>-116</v>
      </c>
      <c r="J103" s="20" t="n">
        <v>-113</v>
      </c>
      <c r="K103" s="20" t="n">
        <v>-155</v>
      </c>
      <c r="L103" s="21">
        <f>ABS(C103)</f>
        <v/>
      </c>
      <c r="M103" s="21">
        <f>ABS(D103)</f>
        <v/>
      </c>
      <c r="N103" s="22">
        <f>(C103-AVERAGE(C$4:C$213))/STDEVP(C$4:C$213)</f>
        <v/>
      </c>
      <c r="O103" s="23">
        <f>L103/MEDIAN(L$4:L$213)</f>
        <v/>
      </c>
      <c r="P103" s="24">
        <f>IF(N103&gt;=요약!$C$5,"대량매수",IF(N103&lt;=-요약!$C$5,"대량매도",""))</f>
        <v/>
      </c>
      <c r="Q103" s="22">
        <f>(D103-AVERAGE(D$4:D$213))/STDEVP(D$4:D$213)</f>
        <v/>
      </c>
      <c r="R103" s="23">
        <f>M103/MEDIAN(M$4:M$213)</f>
        <v/>
      </c>
      <c r="S103" s="24">
        <f>IF(Q103&gt;=요약!$C$5,"대량매수",IF(Q103&lt;=-요약!$C$5,"대량매도",""))</f>
        <v/>
      </c>
    </row>
    <row r="104">
      <c r="A104" s="19" t="n">
        <v>46149</v>
      </c>
      <c r="B104" s="20" t="n">
        <v>-177</v>
      </c>
      <c r="C104" s="20" t="n">
        <v>1747</v>
      </c>
      <c r="D104" s="20" t="n">
        <v>-1323</v>
      </c>
      <c r="E104" s="20" t="n">
        <v>-119</v>
      </c>
      <c r="F104" s="20" t="n">
        <v>53</v>
      </c>
      <c r="G104" s="20" t="n">
        <v>-1074</v>
      </c>
      <c r="H104" s="20" t="n">
        <v>-19</v>
      </c>
      <c r="I104" s="20" t="n">
        <v>-102</v>
      </c>
      <c r="J104" s="20" t="n">
        <v>-63</v>
      </c>
      <c r="K104" s="20" t="n">
        <v>-246</v>
      </c>
      <c r="L104" s="21">
        <f>ABS(C104)</f>
        <v/>
      </c>
      <c r="M104" s="21">
        <f>ABS(D104)</f>
        <v/>
      </c>
      <c r="N104" s="22">
        <f>(C104-AVERAGE(C$4:C$213))/STDEVP(C$4:C$213)</f>
        <v/>
      </c>
      <c r="O104" s="23">
        <f>L104/MEDIAN(L$4:L$213)</f>
        <v/>
      </c>
      <c r="P104" s="24">
        <f>IF(N104&gt;=요약!$C$5,"대량매수",IF(N104&lt;=-요약!$C$5,"대량매도",""))</f>
        <v/>
      </c>
      <c r="Q104" s="22">
        <f>(D104-AVERAGE(D$4:D$213))/STDEVP(D$4:D$213)</f>
        <v/>
      </c>
      <c r="R104" s="23">
        <f>M104/MEDIAN(M$4:M$213)</f>
        <v/>
      </c>
      <c r="S104" s="24">
        <f>IF(Q104&gt;=요약!$C$5,"대량매수",IF(Q104&lt;=-요약!$C$5,"대량매도",""))</f>
        <v/>
      </c>
    </row>
    <row r="105">
      <c r="A105" s="19" t="n">
        <v>46148</v>
      </c>
      <c r="B105" s="20" t="n">
        <v>6105</v>
      </c>
      <c r="C105" s="20" t="n">
        <v>-615</v>
      </c>
      <c r="D105" s="20" t="n">
        <v>-5435</v>
      </c>
      <c r="E105" s="20" t="n">
        <v>-4264</v>
      </c>
      <c r="F105" s="20" t="n">
        <v>-327</v>
      </c>
      <c r="G105" s="20" t="n">
        <v>-360</v>
      </c>
      <c r="H105" s="20" t="n">
        <v>3</v>
      </c>
      <c r="I105" s="20" t="n">
        <v>-14</v>
      </c>
      <c r="J105" s="20" t="n">
        <v>-473</v>
      </c>
      <c r="K105" s="20" t="n">
        <v>-56</v>
      </c>
      <c r="L105" s="21">
        <f>ABS(C105)</f>
        <v/>
      </c>
      <c r="M105" s="21">
        <f>ABS(D105)</f>
        <v/>
      </c>
      <c r="N105" s="22">
        <f>(C105-AVERAGE(C$4:C$213))/STDEVP(C$4:C$213)</f>
        <v/>
      </c>
      <c r="O105" s="23">
        <f>L105/MEDIAN(L$4:L$213)</f>
        <v/>
      </c>
      <c r="P105" s="24">
        <f>IF(N105&gt;=요약!$C$5,"대량매수",IF(N105&lt;=-요약!$C$5,"대량매도",""))</f>
        <v/>
      </c>
      <c r="Q105" s="22">
        <f>(D105-AVERAGE(D$4:D$213))/STDEVP(D$4:D$213)</f>
        <v/>
      </c>
      <c r="R105" s="23">
        <f>M105/MEDIAN(M$4:M$213)</f>
        <v/>
      </c>
      <c r="S105" s="24">
        <f>IF(Q105&gt;=요약!$C$5,"대량매수",IF(Q105&lt;=-요약!$C$5,"대량매도",""))</f>
        <v/>
      </c>
    </row>
    <row r="106">
      <c r="A106" s="19" t="n">
        <v>46146</v>
      </c>
      <c r="B106" s="20" t="n">
        <v>-4422</v>
      </c>
      <c r="C106" s="20" t="n">
        <v>5548</v>
      </c>
      <c r="D106" s="20" t="n">
        <v>-729</v>
      </c>
      <c r="E106" s="20" t="n">
        <v>-1515</v>
      </c>
      <c r="F106" s="20" t="n">
        <v>-105</v>
      </c>
      <c r="G106" s="20" t="n">
        <v>874</v>
      </c>
      <c r="H106" s="20" t="n">
        <v>0</v>
      </c>
      <c r="I106" s="20" t="n">
        <v>-132</v>
      </c>
      <c r="J106" s="20" t="n">
        <v>148</v>
      </c>
      <c r="K106" s="20" t="n">
        <v>-397</v>
      </c>
      <c r="L106" s="21">
        <f>ABS(C106)</f>
        <v/>
      </c>
      <c r="M106" s="21">
        <f>ABS(D106)</f>
        <v/>
      </c>
      <c r="N106" s="22">
        <f>(C106-AVERAGE(C$4:C$213))/STDEVP(C$4:C$213)</f>
        <v/>
      </c>
      <c r="O106" s="23">
        <f>L106/MEDIAN(L$4:L$213)</f>
        <v/>
      </c>
      <c r="P106" s="24">
        <f>IF(N106&gt;=요약!$C$5,"대량매수",IF(N106&lt;=-요약!$C$5,"대량매도",""))</f>
        <v/>
      </c>
      <c r="Q106" s="22">
        <f>(D106-AVERAGE(D$4:D$213))/STDEVP(D$4:D$213)</f>
        <v/>
      </c>
      <c r="R106" s="23">
        <f>M106/MEDIAN(M$4:M$213)</f>
        <v/>
      </c>
      <c r="S106" s="24">
        <f>IF(Q106&gt;=요약!$C$5,"대량매수",IF(Q106&lt;=-요약!$C$5,"대량매도",""))</f>
        <v/>
      </c>
    </row>
    <row r="107">
      <c r="A107" s="19" t="n">
        <v>46142</v>
      </c>
      <c r="B107" s="20" t="n">
        <v>5532</v>
      </c>
      <c r="C107" s="20" t="n">
        <v>-2112</v>
      </c>
      <c r="D107" s="20" t="n">
        <v>-3045</v>
      </c>
      <c r="E107" s="20" t="n">
        <v>-1448</v>
      </c>
      <c r="F107" s="20" t="n">
        <v>-135</v>
      </c>
      <c r="G107" s="20" t="n">
        <v>-1124</v>
      </c>
      <c r="H107" s="20" t="n">
        <v>-12</v>
      </c>
      <c r="I107" s="20" t="n">
        <v>-55</v>
      </c>
      <c r="J107" s="20" t="n">
        <v>-270</v>
      </c>
      <c r="K107" s="20" t="n">
        <v>-375</v>
      </c>
      <c r="L107" s="21">
        <f>ABS(C107)</f>
        <v/>
      </c>
      <c r="M107" s="21">
        <f>ABS(D107)</f>
        <v/>
      </c>
      <c r="N107" s="22">
        <f>(C107-AVERAGE(C$4:C$213))/STDEVP(C$4:C$213)</f>
        <v/>
      </c>
      <c r="O107" s="23">
        <f>L107/MEDIAN(L$4:L$213)</f>
        <v/>
      </c>
      <c r="P107" s="24">
        <f>IF(N107&gt;=요약!$C$5,"대량매수",IF(N107&lt;=-요약!$C$5,"대량매도",""))</f>
        <v/>
      </c>
      <c r="Q107" s="22">
        <f>(D107-AVERAGE(D$4:D$213))/STDEVP(D$4:D$213)</f>
        <v/>
      </c>
      <c r="R107" s="23">
        <f>M107/MEDIAN(M$4:M$213)</f>
        <v/>
      </c>
      <c r="S107" s="24">
        <f>IF(Q107&gt;=요약!$C$5,"대량매수",IF(Q107&lt;=-요약!$C$5,"대량매도",""))</f>
        <v/>
      </c>
    </row>
    <row r="108">
      <c r="A108" s="19" t="n">
        <v>46141</v>
      </c>
      <c r="B108" s="20" t="n">
        <v>1379</v>
      </c>
      <c r="C108" s="20" t="n">
        <v>-21</v>
      </c>
      <c r="D108" s="20" t="n">
        <v>-729</v>
      </c>
      <c r="E108" s="20" t="n">
        <v>369</v>
      </c>
      <c r="F108" s="20" t="n">
        <v>-119</v>
      </c>
      <c r="G108" s="20" t="n">
        <v>-427</v>
      </c>
      <c r="H108" s="20" t="n">
        <v>-35</v>
      </c>
      <c r="I108" s="20" t="n">
        <v>-61</v>
      </c>
      <c r="J108" s="20" t="n">
        <v>-456</v>
      </c>
      <c r="K108" s="20" t="n">
        <v>-630</v>
      </c>
      <c r="L108" s="21">
        <f>ABS(C108)</f>
        <v/>
      </c>
      <c r="M108" s="21">
        <f>ABS(D108)</f>
        <v/>
      </c>
      <c r="N108" s="22">
        <f>(C108-AVERAGE(C$4:C$213))/STDEVP(C$4:C$213)</f>
        <v/>
      </c>
      <c r="O108" s="23">
        <f>L108/MEDIAN(L$4:L$213)</f>
        <v/>
      </c>
      <c r="P108" s="24">
        <f>IF(N108&gt;=요약!$C$5,"대량매수",IF(N108&lt;=-요약!$C$5,"대량매도",""))</f>
        <v/>
      </c>
      <c r="Q108" s="22">
        <f>(D108-AVERAGE(D$4:D$213))/STDEVP(D$4:D$213)</f>
        <v/>
      </c>
      <c r="R108" s="23">
        <f>M108/MEDIAN(M$4:M$213)</f>
        <v/>
      </c>
      <c r="S108" s="24">
        <f>IF(Q108&gt;=요약!$C$5,"대량매수",IF(Q108&lt;=-요약!$C$5,"대량매도",""))</f>
        <v/>
      </c>
    </row>
    <row r="109">
      <c r="A109" s="19" t="n">
        <v>46140</v>
      </c>
      <c r="B109" s="20" t="n">
        <v>7962</v>
      </c>
      <c r="C109" s="20" t="n">
        <v>-4949</v>
      </c>
      <c r="D109" s="20" t="n">
        <v>-2543</v>
      </c>
      <c r="E109" s="20" t="n">
        <v>-1877</v>
      </c>
      <c r="F109" s="20" t="n">
        <v>-70</v>
      </c>
      <c r="G109" s="20" t="n">
        <v>-538</v>
      </c>
      <c r="H109" s="20" t="n">
        <v>-17</v>
      </c>
      <c r="I109" s="20" t="n">
        <v>-52</v>
      </c>
      <c r="J109" s="20" t="n">
        <v>11</v>
      </c>
      <c r="K109" s="20" t="n">
        <v>-471</v>
      </c>
      <c r="L109" s="21">
        <f>ABS(C109)</f>
        <v/>
      </c>
      <c r="M109" s="21">
        <f>ABS(D109)</f>
        <v/>
      </c>
      <c r="N109" s="22">
        <f>(C109-AVERAGE(C$4:C$213))/STDEVP(C$4:C$213)</f>
        <v/>
      </c>
      <c r="O109" s="23">
        <f>L109/MEDIAN(L$4:L$213)</f>
        <v/>
      </c>
      <c r="P109" s="24">
        <f>IF(N109&gt;=요약!$C$5,"대량매수",IF(N109&lt;=-요약!$C$5,"대량매도",""))</f>
        <v/>
      </c>
      <c r="Q109" s="22">
        <f>(D109-AVERAGE(D$4:D$213))/STDEVP(D$4:D$213)</f>
        <v/>
      </c>
      <c r="R109" s="23">
        <f>M109/MEDIAN(M$4:M$213)</f>
        <v/>
      </c>
      <c r="S109" s="24">
        <f>IF(Q109&gt;=요약!$C$5,"대량매수",IF(Q109&lt;=-요약!$C$5,"대량매도",""))</f>
        <v/>
      </c>
    </row>
    <row r="110">
      <c r="A110" s="19" t="n">
        <v>46139</v>
      </c>
      <c r="B110" s="20" t="n">
        <v>1418</v>
      </c>
      <c r="C110" s="20" t="n">
        <v>-1722</v>
      </c>
      <c r="D110" s="20" t="n">
        <v>849</v>
      </c>
      <c r="E110" s="20" t="n">
        <v>415</v>
      </c>
      <c r="F110" s="20" t="n">
        <v>-84</v>
      </c>
      <c r="G110" s="20" t="n">
        <v>862</v>
      </c>
      <c r="H110" s="20" t="n">
        <v>5</v>
      </c>
      <c r="I110" s="20" t="n">
        <v>-58</v>
      </c>
      <c r="J110" s="20" t="n">
        <v>-290</v>
      </c>
      <c r="K110" s="20" t="n">
        <v>-545</v>
      </c>
      <c r="L110" s="21">
        <f>ABS(C110)</f>
        <v/>
      </c>
      <c r="M110" s="21">
        <f>ABS(D110)</f>
        <v/>
      </c>
      <c r="N110" s="22">
        <f>(C110-AVERAGE(C$4:C$213))/STDEVP(C$4:C$213)</f>
        <v/>
      </c>
      <c r="O110" s="23">
        <f>L110/MEDIAN(L$4:L$213)</f>
        <v/>
      </c>
      <c r="P110" s="24">
        <f>IF(N110&gt;=요약!$C$5,"대량매수",IF(N110&lt;=-요약!$C$5,"대량매도",""))</f>
        <v/>
      </c>
      <c r="Q110" s="22">
        <f>(D110-AVERAGE(D$4:D$213))/STDEVP(D$4:D$213)</f>
        <v/>
      </c>
      <c r="R110" s="23">
        <f>M110/MEDIAN(M$4:M$213)</f>
        <v/>
      </c>
      <c r="S110" s="24">
        <f>IF(Q110&gt;=요약!$C$5,"대량매수",IF(Q110&lt;=-요약!$C$5,"대량매도",""))</f>
        <v/>
      </c>
    </row>
    <row r="111">
      <c r="A111" s="19" t="n">
        <v>46136</v>
      </c>
      <c r="B111" s="20" t="n">
        <v>-8990</v>
      </c>
      <c r="C111" s="20" t="n">
        <v>7325</v>
      </c>
      <c r="D111" s="20" t="n">
        <v>1887</v>
      </c>
      <c r="E111" s="20" t="n">
        <v>806</v>
      </c>
      <c r="F111" s="20" t="n">
        <v>85</v>
      </c>
      <c r="G111" s="20" t="n">
        <v>827</v>
      </c>
      <c r="H111" s="20" t="n">
        <v>19</v>
      </c>
      <c r="I111" s="20" t="n">
        <v>-56</v>
      </c>
      <c r="J111" s="20" t="n">
        <v>206</v>
      </c>
      <c r="K111" s="20" t="n">
        <v>-222</v>
      </c>
      <c r="L111" s="21">
        <f>ABS(C111)</f>
        <v/>
      </c>
      <c r="M111" s="21">
        <f>ABS(D111)</f>
        <v/>
      </c>
      <c r="N111" s="22">
        <f>(C111-AVERAGE(C$4:C$213))/STDEVP(C$4:C$213)</f>
        <v/>
      </c>
      <c r="O111" s="23">
        <f>L111/MEDIAN(L$4:L$213)</f>
        <v/>
      </c>
      <c r="P111" s="24">
        <f>IF(N111&gt;=요약!$C$5,"대량매수",IF(N111&lt;=-요약!$C$5,"대량매도",""))</f>
        <v/>
      </c>
      <c r="Q111" s="22">
        <f>(D111-AVERAGE(D$4:D$213))/STDEVP(D$4:D$213)</f>
        <v/>
      </c>
      <c r="R111" s="23">
        <f>M111/MEDIAN(M$4:M$213)</f>
        <v/>
      </c>
      <c r="S111" s="24">
        <f>IF(Q111&gt;=요약!$C$5,"대량매수",IF(Q111&lt;=-요약!$C$5,"대량매도",""))</f>
        <v/>
      </c>
    </row>
    <row r="112">
      <c r="A112" s="19" t="n">
        <v>46135</v>
      </c>
      <c r="B112" s="20" t="n">
        <v>3249</v>
      </c>
      <c r="C112" s="20" t="n">
        <v>-1462</v>
      </c>
      <c r="D112" s="20" t="n">
        <v>-1495</v>
      </c>
      <c r="E112" s="20" t="n">
        <v>-938</v>
      </c>
      <c r="F112" s="20" t="n">
        <v>-51</v>
      </c>
      <c r="G112" s="20" t="n">
        <v>-424</v>
      </c>
      <c r="H112" s="20" t="n">
        <v>-7</v>
      </c>
      <c r="I112" s="20" t="n">
        <v>-44</v>
      </c>
      <c r="J112" s="20" t="n">
        <v>-31</v>
      </c>
      <c r="K112" s="20" t="n">
        <v>-292</v>
      </c>
      <c r="L112" s="21">
        <f>ABS(C112)</f>
        <v/>
      </c>
      <c r="M112" s="21">
        <f>ABS(D112)</f>
        <v/>
      </c>
      <c r="N112" s="22">
        <f>(C112-AVERAGE(C$4:C$213))/STDEVP(C$4:C$213)</f>
        <v/>
      </c>
      <c r="O112" s="23">
        <f>L112/MEDIAN(L$4:L$213)</f>
        <v/>
      </c>
      <c r="P112" s="24">
        <f>IF(N112&gt;=요약!$C$5,"대량매수",IF(N112&lt;=-요약!$C$5,"대량매도",""))</f>
        <v/>
      </c>
      <c r="Q112" s="22">
        <f>(D112-AVERAGE(D$4:D$213))/STDEVP(D$4:D$213)</f>
        <v/>
      </c>
      <c r="R112" s="23">
        <f>M112/MEDIAN(M$4:M$213)</f>
        <v/>
      </c>
      <c r="S112" s="24">
        <f>IF(Q112&gt;=요약!$C$5,"대량매수",IF(Q112&lt;=-요약!$C$5,"대량매도",""))</f>
        <v/>
      </c>
    </row>
    <row r="113">
      <c r="A113" s="19" t="n">
        <v>46134</v>
      </c>
      <c r="B113" s="20" t="n">
        <v>2969</v>
      </c>
      <c r="C113" s="20" t="n">
        <v>1621</v>
      </c>
      <c r="D113" s="20" t="n">
        <v>-3691</v>
      </c>
      <c r="E113" s="20" t="n">
        <v>-2273</v>
      </c>
      <c r="F113" s="20" t="n">
        <v>-131</v>
      </c>
      <c r="G113" s="20" t="n">
        <v>-509</v>
      </c>
      <c r="H113" s="20" t="n">
        <v>-12</v>
      </c>
      <c r="I113" s="20" t="n">
        <v>-71</v>
      </c>
      <c r="J113" s="20" t="n">
        <v>-695</v>
      </c>
      <c r="K113" s="20" t="n">
        <v>-898</v>
      </c>
      <c r="L113" s="21">
        <f>ABS(C113)</f>
        <v/>
      </c>
      <c r="M113" s="21">
        <f>ABS(D113)</f>
        <v/>
      </c>
      <c r="N113" s="22">
        <f>(C113-AVERAGE(C$4:C$213))/STDEVP(C$4:C$213)</f>
        <v/>
      </c>
      <c r="O113" s="23">
        <f>L113/MEDIAN(L$4:L$213)</f>
        <v/>
      </c>
      <c r="P113" s="24">
        <f>IF(N113&gt;=요약!$C$5,"대량매수",IF(N113&lt;=-요약!$C$5,"대량매도",""))</f>
        <v/>
      </c>
      <c r="Q113" s="22">
        <f>(D113-AVERAGE(D$4:D$213))/STDEVP(D$4:D$213)</f>
        <v/>
      </c>
      <c r="R113" s="23">
        <f>M113/MEDIAN(M$4:M$213)</f>
        <v/>
      </c>
      <c r="S113" s="24">
        <f>IF(Q113&gt;=요약!$C$5,"대량매수",IF(Q113&lt;=-요약!$C$5,"대량매도",""))</f>
        <v/>
      </c>
    </row>
    <row r="114">
      <c r="A114" s="19" t="n">
        <v>46133</v>
      </c>
      <c r="B114" s="20" t="n">
        <v>4909</v>
      </c>
      <c r="C114" s="20" t="n">
        <v>-2830</v>
      </c>
      <c r="D114" s="20" t="n">
        <v>-1202</v>
      </c>
      <c r="E114" s="20" t="n">
        <v>-368</v>
      </c>
      <c r="F114" s="20" t="n">
        <v>-118</v>
      </c>
      <c r="G114" s="20" t="n">
        <v>-673</v>
      </c>
      <c r="H114" s="20" t="n">
        <v>2</v>
      </c>
      <c r="I114" s="20" t="n">
        <v>-75</v>
      </c>
      <c r="J114" s="20" t="n">
        <v>30</v>
      </c>
      <c r="K114" s="20" t="n">
        <v>-877</v>
      </c>
      <c r="L114" s="21">
        <f>ABS(C114)</f>
        <v/>
      </c>
      <c r="M114" s="21">
        <f>ABS(D114)</f>
        <v/>
      </c>
      <c r="N114" s="22">
        <f>(C114-AVERAGE(C$4:C$213))/STDEVP(C$4:C$213)</f>
        <v/>
      </c>
      <c r="O114" s="23">
        <f>L114/MEDIAN(L$4:L$213)</f>
        <v/>
      </c>
      <c r="P114" s="24">
        <f>IF(N114&gt;=요약!$C$5,"대량매수",IF(N114&lt;=-요약!$C$5,"대량매도",""))</f>
        <v/>
      </c>
      <c r="Q114" s="22">
        <f>(D114-AVERAGE(D$4:D$213))/STDEVP(D$4:D$213)</f>
        <v/>
      </c>
      <c r="R114" s="23">
        <f>M114/MEDIAN(M$4:M$213)</f>
        <v/>
      </c>
      <c r="S114" s="24">
        <f>IF(Q114&gt;=요약!$C$5,"대량매수",IF(Q114&lt;=-요약!$C$5,"대량매도",""))</f>
        <v/>
      </c>
    </row>
    <row r="115">
      <c r="A115" s="19" t="n">
        <v>46132</v>
      </c>
      <c r="B115" s="20" t="n">
        <v>1622</v>
      </c>
      <c r="C115" s="20" t="n">
        <v>216</v>
      </c>
      <c r="D115" s="20" t="n">
        <v>-1604</v>
      </c>
      <c r="E115" s="20" t="n">
        <v>-1487</v>
      </c>
      <c r="F115" s="20" t="n">
        <v>-64</v>
      </c>
      <c r="G115" s="20" t="n">
        <v>215</v>
      </c>
      <c r="H115" s="20" t="n">
        <v>-9</v>
      </c>
      <c r="I115" s="20" t="n">
        <v>-101</v>
      </c>
      <c r="J115" s="20" t="n">
        <v>-159</v>
      </c>
      <c r="K115" s="20" t="n">
        <v>-233</v>
      </c>
      <c r="L115" s="21">
        <f>ABS(C115)</f>
        <v/>
      </c>
      <c r="M115" s="21">
        <f>ABS(D115)</f>
        <v/>
      </c>
      <c r="N115" s="22">
        <f>(C115-AVERAGE(C$4:C$213))/STDEVP(C$4:C$213)</f>
        <v/>
      </c>
      <c r="O115" s="23">
        <f>L115/MEDIAN(L$4:L$213)</f>
        <v/>
      </c>
      <c r="P115" s="24">
        <f>IF(N115&gt;=요약!$C$5,"대량매수",IF(N115&lt;=-요약!$C$5,"대량매도",""))</f>
        <v/>
      </c>
      <c r="Q115" s="22">
        <f>(D115-AVERAGE(D$4:D$213))/STDEVP(D$4:D$213)</f>
        <v/>
      </c>
      <c r="R115" s="23">
        <f>M115/MEDIAN(M$4:M$213)</f>
        <v/>
      </c>
      <c r="S115" s="24">
        <f>IF(Q115&gt;=요약!$C$5,"대량매수",IF(Q115&lt;=-요약!$C$5,"대량매도",""))</f>
        <v/>
      </c>
    </row>
    <row r="116">
      <c r="A116" s="19" t="n">
        <v>46129</v>
      </c>
      <c r="B116" s="20" t="n">
        <v>14</v>
      </c>
      <c r="C116" s="20" t="n">
        <v>133</v>
      </c>
      <c r="D116" s="20" t="n">
        <v>138</v>
      </c>
      <c r="E116" s="20" t="n">
        <v>-401</v>
      </c>
      <c r="F116" s="20" t="n">
        <v>-65</v>
      </c>
      <c r="G116" s="20" t="n">
        <v>542</v>
      </c>
      <c r="H116" s="20" t="n">
        <v>-5</v>
      </c>
      <c r="I116" s="20" t="n">
        <v>-56</v>
      </c>
      <c r="J116" s="20" t="n">
        <v>122</v>
      </c>
      <c r="K116" s="20" t="n">
        <v>-285</v>
      </c>
      <c r="L116" s="21">
        <f>ABS(C116)</f>
        <v/>
      </c>
      <c r="M116" s="21">
        <f>ABS(D116)</f>
        <v/>
      </c>
      <c r="N116" s="22">
        <f>(C116-AVERAGE(C$4:C$213))/STDEVP(C$4:C$213)</f>
        <v/>
      </c>
      <c r="O116" s="23">
        <f>L116/MEDIAN(L$4:L$213)</f>
        <v/>
      </c>
      <c r="P116" s="24">
        <f>IF(N116&gt;=요약!$C$5,"대량매수",IF(N116&lt;=-요약!$C$5,"대량매도",""))</f>
        <v/>
      </c>
      <c r="Q116" s="22">
        <f>(D116-AVERAGE(D$4:D$213))/STDEVP(D$4:D$213)</f>
        <v/>
      </c>
      <c r="R116" s="23">
        <f>M116/MEDIAN(M$4:M$213)</f>
        <v/>
      </c>
      <c r="S116" s="24">
        <f>IF(Q116&gt;=요약!$C$5,"대량매수",IF(Q116&lt;=-요약!$C$5,"대량매도",""))</f>
        <v/>
      </c>
    </row>
    <row r="117">
      <c r="A117" s="19" t="n">
        <v>46128</v>
      </c>
      <c r="B117" s="20" t="n">
        <v>3605</v>
      </c>
      <c r="C117" s="20" t="n">
        <v>-2463</v>
      </c>
      <c r="D117" s="20" t="n">
        <v>-640</v>
      </c>
      <c r="E117" s="20" t="n">
        <v>-1047</v>
      </c>
      <c r="F117" s="20" t="n">
        <v>54</v>
      </c>
      <c r="G117" s="20" t="n">
        <v>519</v>
      </c>
      <c r="H117" s="20" t="n">
        <v>2</v>
      </c>
      <c r="I117" s="20" t="n">
        <v>-109</v>
      </c>
      <c r="J117" s="20" t="n">
        <v>-59</v>
      </c>
      <c r="K117" s="20" t="n">
        <v>-502</v>
      </c>
      <c r="L117" s="21">
        <f>ABS(C117)</f>
        <v/>
      </c>
      <c r="M117" s="21">
        <f>ABS(D117)</f>
        <v/>
      </c>
      <c r="N117" s="22">
        <f>(C117-AVERAGE(C$4:C$213))/STDEVP(C$4:C$213)</f>
        <v/>
      </c>
      <c r="O117" s="23">
        <f>L117/MEDIAN(L$4:L$213)</f>
        <v/>
      </c>
      <c r="P117" s="24">
        <f>IF(N117&gt;=요약!$C$5,"대량매수",IF(N117&lt;=-요약!$C$5,"대량매도",""))</f>
        <v/>
      </c>
      <c r="Q117" s="22">
        <f>(D117-AVERAGE(D$4:D$213))/STDEVP(D$4:D$213)</f>
        <v/>
      </c>
      <c r="R117" s="23">
        <f>M117/MEDIAN(M$4:M$213)</f>
        <v/>
      </c>
      <c r="S117" s="24">
        <f>IF(Q117&gt;=요약!$C$5,"대량매수",IF(Q117&lt;=-요약!$C$5,"대량매도",""))</f>
        <v/>
      </c>
    </row>
    <row r="118">
      <c r="A118" s="19" t="n">
        <v>46127</v>
      </c>
      <c r="B118" s="20" t="n">
        <v>-2561</v>
      </c>
      <c r="C118" s="20" t="n">
        <v>2209</v>
      </c>
      <c r="D118" s="20" t="n">
        <v>1767</v>
      </c>
      <c r="E118" s="20" t="n">
        <v>153</v>
      </c>
      <c r="F118" s="20" t="n">
        <v>16</v>
      </c>
      <c r="G118" s="20" t="n">
        <v>1448</v>
      </c>
      <c r="H118" s="20" t="n">
        <v>5</v>
      </c>
      <c r="I118" s="20" t="n">
        <v>-74</v>
      </c>
      <c r="J118" s="20" t="n">
        <v>218</v>
      </c>
      <c r="K118" s="20" t="n">
        <v>-1415</v>
      </c>
      <c r="L118" s="21">
        <f>ABS(C118)</f>
        <v/>
      </c>
      <c r="M118" s="21">
        <f>ABS(D118)</f>
        <v/>
      </c>
      <c r="N118" s="22">
        <f>(C118-AVERAGE(C$4:C$213))/STDEVP(C$4:C$213)</f>
        <v/>
      </c>
      <c r="O118" s="23">
        <f>L118/MEDIAN(L$4:L$213)</f>
        <v/>
      </c>
      <c r="P118" s="24">
        <f>IF(N118&gt;=요약!$C$5,"대량매수",IF(N118&lt;=-요약!$C$5,"대량매도",""))</f>
        <v/>
      </c>
      <c r="Q118" s="22">
        <f>(D118-AVERAGE(D$4:D$213))/STDEVP(D$4:D$213)</f>
        <v/>
      </c>
      <c r="R118" s="23">
        <f>M118/MEDIAN(M$4:M$213)</f>
        <v/>
      </c>
      <c r="S118" s="24">
        <f>IF(Q118&gt;=요약!$C$5,"대량매수",IF(Q118&lt;=-요약!$C$5,"대량매도",""))</f>
        <v/>
      </c>
    </row>
    <row r="119">
      <c r="A119" s="19" t="n">
        <v>46126</v>
      </c>
      <c r="B119" s="20" t="n">
        <v>1160</v>
      </c>
      <c r="C119" s="20" t="n">
        <v>-64</v>
      </c>
      <c r="D119" s="20" t="n">
        <v>-1288</v>
      </c>
      <c r="E119" s="20" t="n">
        <v>-1453</v>
      </c>
      <c r="F119" s="20" t="n">
        <v>30</v>
      </c>
      <c r="G119" s="20" t="n">
        <v>133</v>
      </c>
      <c r="H119" s="20" t="n">
        <v>4</v>
      </c>
      <c r="I119" s="20" t="n">
        <v>-147</v>
      </c>
      <c r="J119" s="20" t="n">
        <v>146</v>
      </c>
      <c r="K119" s="20" t="n">
        <v>191</v>
      </c>
      <c r="L119" s="21">
        <f>ABS(C119)</f>
        <v/>
      </c>
      <c r="M119" s="21">
        <f>ABS(D119)</f>
        <v/>
      </c>
      <c r="N119" s="22">
        <f>(C119-AVERAGE(C$4:C$213))/STDEVP(C$4:C$213)</f>
        <v/>
      </c>
      <c r="O119" s="23">
        <f>L119/MEDIAN(L$4:L$213)</f>
        <v/>
      </c>
      <c r="P119" s="24">
        <f>IF(N119&gt;=요약!$C$5,"대량매수",IF(N119&lt;=-요약!$C$5,"대량매도",""))</f>
        <v/>
      </c>
      <c r="Q119" s="22">
        <f>(D119-AVERAGE(D$4:D$213))/STDEVP(D$4:D$213)</f>
        <v/>
      </c>
      <c r="R119" s="23">
        <f>M119/MEDIAN(M$4:M$213)</f>
        <v/>
      </c>
      <c r="S119" s="24">
        <f>IF(Q119&gt;=요약!$C$5,"대량매수",IF(Q119&lt;=-요약!$C$5,"대량매도",""))</f>
        <v/>
      </c>
    </row>
    <row r="120">
      <c r="A120" s="19" t="n">
        <v>46125</v>
      </c>
      <c r="B120" s="20" t="n">
        <v>2620</v>
      </c>
      <c r="C120" s="20" t="n">
        <v>-1491</v>
      </c>
      <c r="D120" s="20" t="n">
        <v>-923</v>
      </c>
      <c r="E120" s="20" t="n">
        <v>-971</v>
      </c>
      <c r="F120" s="20" t="n">
        <v>61</v>
      </c>
      <c r="G120" s="20" t="n">
        <v>152</v>
      </c>
      <c r="H120" s="20" t="n">
        <v>-2</v>
      </c>
      <c r="I120" s="20" t="n">
        <v>-62</v>
      </c>
      <c r="J120" s="20" t="n">
        <v>-101</v>
      </c>
      <c r="K120" s="20" t="n">
        <v>-205</v>
      </c>
      <c r="L120" s="21">
        <f>ABS(C120)</f>
        <v/>
      </c>
      <c r="M120" s="21">
        <f>ABS(D120)</f>
        <v/>
      </c>
      <c r="N120" s="22">
        <f>(C120-AVERAGE(C$4:C$213))/STDEVP(C$4:C$213)</f>
        <v/>
      </c>
      <c r="O120" s="23">
        <f>L120/MEDIAN(L$4:L$213)</f>
        <v/>
      </c>
      <c r="P120" s="24">
        <f>IF(N120&gt;=요약!$C$5,"대량매수",IF(N120&lt;=-요약!$C$5,"대량매도",""))</f>
        <v/>
      </c>
      <c r="Q120" s="22">
        <f>(D120-AVERAGE(D$4:D$213))/STDEVP(D$4:D$213)</f>
        <v/>
      </c>
      <c r="R120" s="23">
        <f>M120/MEDIAN(M$4:M$213)</f>
        <v/>
      </c>
      <c r="S120" s="24">
        <f>IF(Q120&gt;=요약!$C$5,"대량매수",IF(Q120&lt;=-요약!$C$5,"대량매도",""))</f>
        <v/>
      </c>
    </row>
    <row r="121">
      <c r="A121" s="19" t="n">
        <v>46122</v>
      </c>
      <c r="B121" s="20" t="n">
        <v>-824</v>
      </c>
      <c r="C121" s="20" t="n">
        <v>-19</v>
      </c>
      <c r="D121" s="20" t="n">
        <v>931</v>
      </c>
      <c r="E121" s="20" t="n">
        <v>-734</v>
      </c>
      <c r="F121" s="20" t="n">
        <v>76</v>
      </c>
      <c r="G121" s="20" t="n">
        <v>1864</v>
      </c>
      <c r="H121" s="20" t="n">
        <v>-15</v>
      </c>
      <c r="I121" s="20" t="n">
        <v>-72</v>
      </c>
      <c r="J121" s="20" t="n">
        <v>-188</v>
      </c>
      <c r="K121" s="20" t="n">
        <v>-89</v>
      </c>
      <c r="L121" s="21">
        <f>ABS(C121)</f>
        <v/>
      </c>
      <c r="M121" s="21">
        <f>ABS(D121)</f>
        <v/>
      </c>
      <c r="N121" s="22">
        <f>(C121-AVERAGE(C$4:C$213))/STDEVP(C$4:C$213)</f>
        <v/>
      </c>
      <c r="O121" s="23">
        <f>L121/MEDIAN(L$4:L$213)</f>
        <v/>
      </c>
      <c r="P121" s="24">
        <f>IF(N121&gt;=요약!$C$5,"대량매수",IF(N121&lt;=-요약!$C$5,"대량매도",""))</f>
        <v/>
      </c>
      <c r="Q121" s="22">
        <f>(D121-AVERAGE(D$4:D$213))/STDEVP(D$4:D$213)</f>
        <v/>
      </c>
      <c r="R121" s="23">
        <f>M121/MEDIAN(M$4:M$213)</f>
        <v/>
      </c>
      <c r="S121" s="24">
        <f>IF(Q121&gt;=요약!$C$5,"대량매수",IF(Q121&lt;=-요약!$C$5,"대량매도",""))</f>
        <v/>
      </c>
    </row>
    <row r="122">
      <c r="A122" s="19" t="n">
        <v>46121</v>
      </c>
      <c r="B122" s="20" t="n">
        <v>9281</v>
      </c>
      <c r="C122" s="20" t="n">
        <v>-4249</v>
      </c>
      <c r="D122" s="20" t="n">
        <v>-5080</v>
      </c>
      <c r="E122" s="20" t="n">
        <v>-3200</v>
      </c>
      <c r="F122" s="20" t="n">
        <v>-46</v>
      </c>
      <c r="G122" s="20" t="n">
        <v>-1326</v>
      </c>
      <c r="H122" s="20" t="n">
        <v>-16</v>
      </c>
      <c r="I122" s="20" t="n">
        <v>-38</v>
      </c>
      <c r="J122" s="20" t="n">
        <v>-454</v>
      </c>
      <c r="K122" s="20" t="n">
        <v>48</v>
      </c>
      <c r="L122" s="21">
        <f>ABS(C122)</f>
        <v/>
      </c>
      <c r="M122" s="21">
        <f>ABS(D122)</f>
        <v/>
      </c>
      <c r="N122" s="22">
        <f>(C122-AVERAGE(C$4:C$213))/STDEVP(C$4:C$213)</f>
        <v/>
      </c>
      <c r="O122" s="23">
        <f>L122/MEDIAN(L$4:L$213)</f>
        <v/>
      </c>
      <c r="P122" s="24">
        <f>IF(N122&gt;=요약!$C$5,"대량매수",IF(N122&lt;=-요약!$C$5,"대량매도",""))</f>
        <v/>
      </c>
      <c r="Q122" s="22">
        <f>(D122-AVERAGE(D$4:D$213))/STDEVP(D$4:D$213)</f>
        <v/>
      </c>
      <c r="R122" s="23">
        <f>M122/MEDIAN(M$4:M$213)</f>
        <v/>
      </c>
      <c r="S122" s="24">
        <f>IF(Q122&gt;=요약!$C$5,"대량매수",IF(Q122&lt;=-요약!$C$5,"대량매도",""))</f>
        <v/>
      </c>
    </row>
    <row r="123">
      <c r="A123" s="19" t="n">
        <v>46120</v>
      </c>
      <c r="B123" s="20" t="n">
        <v>-5833</v>
      </c>
      <c r="C123" s="20" t="n">
        <v>2397</v>
      </c>
      <c r="D123" s="20" t="n">
        <v>3729</v>
      </c>
      <c r="E123" s="20" t="n">
        <v>3700</v>
      </c>
      <c r="F123" s="20" t="n">
        <v>23</v>
      </c>
      <c r="G123" s="20" t="n">
        <v>251</v>
      </c>
      <c r="H123" s="20" t="n">
        <v>7</v>
      </c>
      <c r="I123" s="20" t="n">
        <v>-70</v>
      </c>
      <c r="J123" s="20" t="n">
        <v>-181</v>
      </c>
      <c r="K123" s="20" t="n">
        <v>-293</v>
      </c>
      <c r="L123" s="21">
        <f>ABS(C123)</f>
        <v/>
      </c>
      <c r="M123" s="21">
        <f>ABS(D123)</f>
        <v/>
      </c>
      <c r="N123" s="22">
        <f>(C123-AVERAGE(C$4:C$213))/STDEVP(C$4:C$213)</f>
        <v/>
      </c>
      <c r="O123" s="23">
        <f>L123/MEDIAN(L$4:L$213)</f>
        <v/>
      </c>
      <c r="P123" s="24">
        <f>IF(N123&gt;=요약!$C$5,"대량매수",IF(N123&lt;=-요약!$C$5,"대량매도",""))</f>
        <v/>
      </c>
      <c r="Q123" s="22">
        <f>(D123-AVERAGE(D$4:D$213))/STDEVP(D$4:D$213)</f>
        <v/>
      </c>
      <c r="R123" s="23">
        <f>M123/MEDIAN(M$4:M$213)</f>
        <v/>
      </c>
      <c r="S123" s="24">
        <f>IF(Q123&gt;=요약!$C$5,"대량매수",IF(Q123&lt;=-요약!$C$5,"대량매도",""))</f>
        <v/>
      </c>
    </row>
    <row r="124">
      <c r="A124" s="19" t="n">
        <v>46119</v>
      </c>
      <c r="B124" s="20" t="n">
        <v>-322</v>
      </c>
      <c r="C124" s="20" t="n">
        <v>1798</v>
      </c>
      <c r="D124" s="20" t="n">
        <v>-1200</v>
      </c>
      <c r="E124" s="20" t="n">
        <v>420</v>
      </c>
      <c r="F124" s="20" t="n">
        <v>-43</v>
      </c>
      <c r="G124" s="20" t="n">
        <v>-1378</v>
      </c>
      <c r="H124" s="20" t="n">
        <v>5</v>
      </c>
      <c r="I124" s="20" t="n">
        <v>-17</v>
      </c>
      <c r="J124" s="20" t="n">
        <v>-187</v>
      </c>
      <c r="K124" s="20" t="n">
        <v>-275</v>
      </c>
      <c r="L124" s="21">
        <f>ABS(C124)</f>
        <v/>
      </c>
      <c r="M124" s="21">
        <f>ABS(D124)</f>
        <v/>
      </c>
      <c r="N124" s="22">
        <f>(C124-AVERAGE(C$4:C$213))/STDEVP(C$4:C$213)</f>
        <v/>
      </c>
      <c r="O124" s="23">
        <f>L124/MEDIAN(L$4:L$213)</f>
        <v/>
      </c>
      <c r="P124" s="24">
        <f>IF(N124&gt;=요약!$C$5,"대량매수",IF(N124&lt;=-요약!$C$5,"대량매도",""))</f>
        <v/>
      </c>
      <c r="Q124" s="22">
        <f>(D124-AVERAGE(D$4:D$213))/STDEVP(D$4:D$213)</f>
        <v/>
      </c>
      <c r="R124" s="23">
        <f>M124/MEDIAN(M$4:M$213)</f>
        <v/>
      </c>
      <c r="S124" s="24">
        <f>IF(Q124&gt;=요약!$C$5,"대량매수",IF(Q124&lt;=-요약!$C$5,"대량매도",""))</f>
        <v/>
      </c>
    </row>
    <row r="125">
      <c r="A125" s="19" t="n">
        <v>46118</v>
      </c>
      <c r="B125" s="20" t="n">
        <v>4266</v>
      </c>
      <c r="C125" s="20" t="n">
        <v>868</v>
      </c>
      <c r="D125" s="20" t="n">
        <v>-3592</v>
      </c>
      <c r="E125" s="20" t="n">
        <v>-2117</v>
      </c>
      <c r="F125" s="20" t="n">
        <v>-107</v>
      </c>
      <c r="G125" s="20" t="n">
        <v>-1163</v>
      </c>
      <c r="H125" s="20" t="n">
        <v>-1</v>
      </c>
      <c r="I125" s="20" t="n">
        <v>-18</v>
      </c>
      <c r="J125" s="20" t="n">
        <v>-186</v>
      </c>
      <c r="K125" s="20" t="n">
        <v>-1542</v>
      </c>
      <c r="L125" s="21">
        <f>ABS(C125)</f>
        <v/>
      </c>
      <c r="M125" s="21">
        <f>ABS(D125)</f>
        <v/>
      </c>
      <c r="N125" s="22">
        <f>(C125-AVERAGE(C$4:C$213))/STDEVP(C$4:C$213)</f>
        <v/>
      </c>
      <c r="O125" s="23">
        <f>L125/MEDIAN(L$4:L$213)</f>
        <v/>
      </c>
      <c r="P125" s="24">
        <f>IF(N125&gt;=요약!$C$5,"대량매수",IF(N125&lt;=-요약!$C$5,"대량매도",""))</f>
        <v/>
      </c>
      <c r="Q125" s="22">
        <f>(D125-AVERAGE(D$4:D$213))/STDEVP(D$4:D$213)</f>
        <v/>
      </c>
      <c r="R125" s="23">
        <f>M125/MEDIAN(M$4:M$213)</f>
        <v/>
      </c>
      <c r="S125" s="24">
        <f>IF(Q125&gt;=요약!$C$5,"대량매수",IF(Q125&lt;=-요약!$C$5,"대량매도",""))</f>
        <v/>
      </c>
    </row>
    <row r="126">
      <c r="A126" s="19" t="n">
        <v>46115</v>
      </c>
      <c r="B126" s="20" t="n">
        <v>4067</v>
      </c>
      <c r="C126" s="20" t="n">
        <v>-1966</v>
      </c>
      <c r="D126" s="20" t="n">
        <v>-2173</v>
      </c>
      <c r="E126" s="20" t="n">
        <v>-1510</v>
      </c>
      <c r="F126" s="20" t="n">
        <v>-55</v>
      </c>
      <c r="G126" s="20" t="n">
        <v>-334</v>
      </c>
      <c r="H126" s="20" t="n">
        <v>-9</v>
      </c>
      <c r="I126" s="20" t="n">
        <v>-25</v>
      </c>
      <c r="J126" s="20" t="n">
        <v>-241</v>
      </c>
      <c r="K126" s="20" t="n">
        <v>71</v>
      </c>
      <c r="L126" s="21">
        <f>ABS(C126)</f>
        <v/>
      </c>
      <c r="M126" s="21">
        <f>ABS(D126)</f>
        <v/>
      </c>
      <c r="N126" s="22">
        <f>(C126-AVERAGE(C$4:C$213))/STDEVP(C$4:C$213)</f>
        <v/>
      </c>
      <c r="O126" s="23">
        <f>L126/MEDIAN(L$4:L$213)</f>
        <v/>
      </c>
      <c r="P126" s="24">
        <f>IF(N126&gt;=요약!$C$5,"대량매수",IF(N126&lt;=-요약!$C$5,"대량매도",""))</f>
        <v/>
      </c>
      <c r="Q126" s="22">
        <f>(D126-AVERAGE(D$4:D$213))/STDEVP(D$4:D$213)</f>
        <v/>
      </c>
      <c r="R126" s="23">
        <f>M126/MEDIAN(M$4:M$213)</f>
        <v/>
      </c>
      <c r="S126" s="24">
        <f>IF(Q126&gt;=요약!$C$5,"대량매수",IF(Q126&lt;=-요약!$C$5,"대량매도",""))</f>
        <v/>
      </c>
    </row>
    <row r="127">
      <c r="A127" s="19" t="n">
        <v>46114</v>
      </c>
      <c r="B127" s="20" t="n">
        <v>6157</v>
      </c>
      <c r="C127" s="20" t="n">
        <v>-863</v>
      </c>
      <c r="D127" s="20" t="n">
        <v>-5055</v>
      </c>
      <c r="E127" s="20" t="n">
        <v>-2231</v>
      </c>
      <c r="F127" s="20" t="n">
        <v>-113</v>
      </c>
      <c r="G127" s="20" t="n">
        <v>-1511</v>
      </c>
      <c r="H127" s="20" t="n">
        <v>-2</v>
      </c>
      <c r="I127" s="20" t="n">
        <v>-157</v>
      </c>
      <c r="J127" s="20" t="n">
        <v>-1041</v>
      </c>
      <c r="K127" s="20" t="n">
        <v>-240</v>
      </c>
      <c r="L127" s="21">
        <f>ABS(C127)</f>
        <v/>
      </c>
      <c r="M127" s="21">
        <f>ABS(D127)</f>
        <v/>
      </c>
      <c r="N127" s="22">
        <f>(C127-AVERAGE(C$4:C$213))/STDEVP(C$4:C$213)</f>
        <v/>
      </c>
      <c r="O127" s="23">
        <f>L127/MEDIAN(L$4:L$213)</f>
        <v/>
      </c>
      <c r="P127" s="24">
        <f>IF(N127&gt;=요약!$C$5,"대량매수",IF(N127&lt;=-요약!$C$5,"대량매도",""))</f>
        <v/>
      </c>
      <c r="Q127" s="22">
        <f>(D127-AVERAGE(D$4:D$213))/STDEVP(D$4:D$213)</f>
        <v/>
      </c>
      <c r="R127" s="23">
        <f>M127/MEDIAN(M$4:M$213)</f>
        <v/>
      </c>
      <c r="S127" s="24">
        <f>IF(Q127&gt;=요약!$C$5,"대량매수",IF(Q127&lt;=-요약!$C$5,"대량매도",""))</f>
        <v/>
      </c>
    </row>
    <row r="128">
      <c r="A128" s="19" t="n">
        <v>46113</v>
      </c>
      <c r="B128" s="20" t="n">
        <v>-9011</v>
      </c>
      <c r="C128" s="20" t="n">
        <v>4385</v>
      </c>
      <c r="D128" s="20" t="n">
        <v>4609</v>
      </c>
      <c r="E128" s="20" t="n">
        <v>2820</v>
      </c>
      <c r="F128" s="20" t="n">
        <v>45</v>
      </c>
      <c r="G128" s="20" t="n">
        <v>1640</v>
      </c>
      <c r="H128" s="20" t="n">
        <v>1</v>
      </c>
      <c r="I128" s="20" t="n">
        <v>-41</v>
      </c>
      <c r="J128" s="20" t="n">
        <v>144</v>
      </c>
      <c r="K128" s="20" t="n">
        <v>17</v>
      </c>
      <c r="L128" s="21">
        <f>ABS(C128)</f>
        <v/>
      </c>
      <c r="M128" s="21">
        <f>ABS(D128)</f>
        <v/>
      </c>
      <c r="N128" s="22">
        <f>(C128-AVERAGE(C$4:C$213))/STDEVP(C$4:C$213)</f>
        <v/>
      </c>
      <c r="O128" s="23">
        <f>L128/MEDIAN(L$4:L$213)</f>
        <v/>
      </c>
      <c r="P128" s="24">
        <f>IF(N128&gt;=요약!$C$5,"대량매수",IF(N128&lt;=-요약!$C$5,"대량매도",""))</f>
        <v/>
      </c>
      <c r="Q128" s="22">
        <f>(D128-AVERAGE(D$4:D$213))/STDEVP(D$4:D$213)</f>
        <v/>
      </c>
      <c r="R128" s="23">
        <f>M128/MEDIAN(M$4:M$213)</f>
        <v/>
      </c>
      <c r="S128" s="24">
        <f>IF(Q128&gt;=요약!$C$5,"대량매수",IF(Q128&lt;=-요약!$C$5,"대량매도",""))</f>
        <v/>
      </c>
    </row>
    <row r="129">
      <c r="A129" s="19" t="n">
        <v>46112</v>
      </c>
      <c r="B129" s="20" t="n">
        <v>497</v>
      </c>
      <c r="C129" s="20" t="n">
        <v>1188</v>
      </c>
      <c r="D129" s="20" t="n">
        <v>-687</v>
      </c>
      <c r="E129" s="20" t="n">
        <v>590</v>
      </c>
      <c r="F129" s="20" t="n">
        <v>-99</v>
      </c>
      <c r="G129" s="20" t="n">
        <v>-717</v>
      </c>
      <c r="H129" s="20" t="n">
        <v>1</v>
      </c>
      <c r="I129" s="20" t="n">
        <v>-153</v>
      </c>
      <c r="J129" s="20" t="n">
        <v>-309</v>
      </c>
      <c r="K129" s="20" t="n">
        <v>-998</v>
      </c>
      <c r="L129" s="21">
        <f>ABS(C129)</f>
        <v/>
      </c>
      <c r="M129" s="21">
        <f>ABS(D129)</f>
        <v/>
      </c>
      <c r="N129" s="22">
        <f>(C129-AVERAGE(C$4:C$213))/STDEVP(C$4:C$213)</f>
        <v/>
      </c>
      <c r="O129" s="23">
        <f>L129/MEDIAN(L$4:L$213)</f>
        <v/>
      </c>
      <c r="P129" s="24">
        <f>IF(N129&gt;=요약!$C$5,"대량매수",IF(N129&lt;=-요약!$C$5,"대량매도",""))</f>
        <v/>
      </c>
      <c r="Q129" s="22">
        <f>(D129-AVERAGE(D$4:D$213))/STDEVP(D$4:D$213)</f>
        <v/>
      </c>
      <c r="R129" s="23">
        <f>M129/MEDIAN(M$4:M$213)</f>
        <v/>
      </c>
      <c r="S129" s="24">
        <f>IF(Q129&gt;=요약!$C$5,"대량매수",IF(Q129&lt;=-요약!$C$5,"대량매도",""))</f>
        <v/>
      </c>
    </row>
    <row r="130">
      <c r="A130" s="19" t="n">
        <v>46111</v>
      </c>
      <c r="B130" s="20" t="n">
        <v>3041</v>
      </c>
      <c r="C130" s="20" t="n">
        <v>-1314</v>
      </c>
      <c r="D130" s="20" t="n">
        <v>-1179</v>
      </c>
      <c r="E130" s="20" t="n">
        <v>-407</v>
      </c>
      <c r="F130" s="20" t="n">
        <v>-48</v>
      </c>
      <c r="G130" s="20" t="n">
        <v>-329</v>
      </c>
      <c r="H130" s="20" t="n">
        <v>0</v>
      </c>
      <c r="I130" s="20" t="n">
        <v>-92</v>
      </c>
      <c r="J130" s="20" t="n">
        <v>-303</v>
      </c>
      <c r="K130" s="20" t="n">
        <v>-548</v>
      </c>
      <c r="L130" s="21">
        <f>ABS(C130)</f>
        <v/>
      </c>
      <c r="M130" s="21">
        <f>ABS(D130)</f>
        <v/>
      </c>
      <c r="N130" s="22">
        <f>(C130-AVERAGE(C$4:C$213))/STDEVP(C$4:C$213)</f>
        <v/>
      </c>
      <c r="O130" s="23">
        <f>L130/MEDIAN(L$4:L$213)</f>
        <v/>
      </c>
      <c r="P130" s="24">
        <f>IF(N130&gt;=요약!$C$5,"대량매수",IF(N130&lt;=-요약!$C$5,"대량매도",""))</f>
        <v/>
      </c>
      <c r="Q130" s="22">
        <f>(D130-AVERAGE(D$4:D$213))/STDEVP(D$4:D$213)</f>
        <v/>
      </c>
      <c r="R130" s="23">
        <f>M130/MEDIAN(M$4:M$213)</f>
        <v/>
      </c>
      <c r="S130" s="24">
        <f>IF(Q130&gt;=요약!$C$5,"대량매수",IF(Q130&lt;=-요약!$C$5,"대량매도",""))</f>
        <v/>
      </c>
    </row>
    <row r="131">
      <c r="A131" s="19" t="n">
        <v>46108</v>
      </c>
      <c r="B131" s="20" t="n">
        <v>1703</v>
      </c>
      <c r="C131" s="20" t="n">
        <v>-2337</v>
      </c>
      <c r="D131" s="20" t="n">
        <v>507</v>
      </c>
      <c r="E131" s="20" t="n">
        <v>127</v>
      </c>
      <c r="F131" s="20" t="n">
        <v>86</v>
      </c>
      <c r="G131" s="20" t="n">
        <v>295</v>
      </c>
      <c r="H131" s="20" t="n">
        <v>-9</v>
      </c>
      <c r="I131" s="20" t="n">
        <v>-47</v>
      </c>
      <c r="J131" s="20" t="n">
        <v>55</v>
      </c>
      <c r="K131" s="20" t="n">
        <v>127</v>
      </c>
      <c r="L131" s="21">
        <f>ABS(C131)</f>
        <v/>
      </c>
      <c r="M131" s="21">
        <f>ABS(D131)</f>
        <v/>
      </c>
      <c r="N131" s="22">
        <f>(C131-AVERAGE(C$4:C$213))/STDEVP(C$4:C$213)</f>
        <v/>
      </c>
      <c r="O131" s="23">
        <f>L131/MEDIAN(L$4:L$213)</f>
        <v/>
      </c>
      <c r="P131" s="24">
        <f>IF(N131&gt;=요약!$C$5,"대량매수",IF(N131&lt;=-요약!$C$5,"대량매도",""))</f>
        <v/>
      </c>
      <c r="Q131" s="22">
        <f>(D131-AVERAGE(D$4:D$213))/STDEVP(D$4:D$213)</f>
        <v/>
      </c>
      <c r="R131" s="23">
        <f>M131/MEDIAN(M$4:M$213)</f>
        <v/>
      </c>
      <c r="S131" s="24">
        <f>IF(Q131&gt;=요약!$C$5,"대량매수",IF(Q131&lt;=-요약!$C$5,"대량매도",""))</f>
        <v/>
      </c>
    </row>
    <row r="132">
      <c r="A132" s="19" t="n">
        <v>46107</v>
      </c>
      <c r="B132" s="20" t="n">
        <v>4846</v>
      </c>
      <c r="C132" s="20" t="n">
        <v>-2963</v>
      </c>
      <c r="D132" s="20" t="n">
        <v>-1337</v>
      </c>
      <c r="E132" s="20" t="n">
        <v>-1636</v>
      </c>
      <c r="F132" s="20" t="n">
        <v>2</v>
      </c>
      <c r="G132" s="20" t="n">
        <v>412</v>
      </c>
      <c r="H132" s="20" t="n">
        <v>-9</v>
      </c>
      <c r="I132" s="20" t="n">
        <v>-235</v>
      </c>
      <c r="J132" s="20" t="n">
        <v>129</v>
      </c>
      <c r="K132" s="20" t="n">
        <v>-546</v>
      </c>
      <c r="L132" s="21">
        <f>ABS(C132)</f>
        <v/>
      </c>
      <c r="M132" s="21">
        <f>ABS(D132)</f>
        <v/>
      </c>
      <c r="N132" s="22">
        <f>(C132-AVERAGE(C$4:C$213))/STDEVP(C$4:C$213)</f>
        <v/>
      </c>
      <c r="O132" s="23">
        <f>L132/MEDIAN(L$4:L$213)</f>
        <v/>
      </c>
      <c r="P132" s="24">
        <f>IF(N132&gt;=요약!$C$5,"대량매수",IF(N132&lt;=-요약!$C$5,"대량매도",""))</f>
        <v/>
      </c>
      <c r="Q132" s="22">
        <f>(D132-AVERAGE(D$4:D$213))/STDEVP(D$4:D$213)</f>
        <v/>
      </c>
      <c r="R132" s="23">
        <f>M132/MEDIAN(M$4:M$213)</f>
        <v/>
      </c>
      <c r="S132" s="24">
        <f>IF(Q132&gt;=요약!$C$5,"대량매수",IF(Q132&lt;=-요약!$C$5,"대량매도",""))</f>
        <v/>
      </c>
    </row>
    <row r="133">
      <c r="A133" s="19" t="n">
        <v>46106</v>
      </c>
      <c r="B133" s="20" t="n">
        <v>-3821</v>
      </c>
      <c r="C133" s="20" t="n">
        <v>3732</v>
      </c>
      <c r="D133" s="20" t="n">
        <v>224</v>
      </c>
      <c r="E133" s="20" t="n">
        <v>-895</v>
      </c>
      <c r="F133" s="20" t="n">
        <v>143</v>
      </c>
      <c r="G133" s="20" t="n">
        <v>878</v>
      </c>
      <c r="H133" s="20" t="n">
        <v>-8</v>
      </c>
      <c r="I133" s="20" t="n">
        <v>-8</v>
      </c>
      <c r="J133" s="20" t="n">
        <v>113</v>
      </c>
      <c r="K133" s="20" t="n">
        <v>-136</v>
      </c>
      <c r="L133" s="21">
        <f>ABS(C133)</f>
        <v/>
      </c>
      <c r="M133" s="21">
        <f>ABS(D133)</f>
        <v/>
      </c>
      <c r="N133" s="22">
        <f>(C133-AVERAGE(C$4:C$213))/STDEVP(C$4:C$213)</f>
        <v/>
      </c>
      <c r="O133" s="23">
        <f>L133/MEDIAN(L$4:L$213)</f>
        <v/>
      </c>
      <c r="P133" s="24">
        <f>IF(N133&gt;=요약!$C$5,"대량매수",IF(N133&lt;=-요약!$C$5,"대량매도",""))</f>
        <v/>
      </c>
      <c r="Q133" s="22">
        <f>(D133-AVERAGE(D$4:D$213))/STDEVP(D$4:D$213)</f>
        <v/>
      </c>
      <c r="R133" s="23">
        <f>M133/MEDIAN(M$4:M$213)</f>
        <v/>
      </c>
      <c r="S133" s="24">
        <f>IF(Q133&gt;=요약!$C$5,"대량매수",IF(Q133&lt;=-요약!$C$5,"대량매도",""))</f>
        <v/>
      </c>
    </row>
    <row r="134">
      <c r="A134" s="19" t="n">
        <v>46105</v>
      </c>
      <c r="B134" s="20" t="n">
        <v>-2113</v>
      </c>
      <c r="C134" s="20" t="n">
        <v>1733</v>
      </c>
      <c r="D134" s="20" t="n">
        <v>158</v>
      </c>
      <c r="E134" s="20" t="n">
        <v>-123</v>
      </c>
      <c r="F134" s="20" t="n">
        <v>17</v>
      </c>
      <c r="G134" s="20" t="n">
        <v>339</v>
      </c>
      <c r="H134" s="20" t="n">
        <v>9</v>
      </c>
      <c r="I134" s="20" t="n">
        <v>-89</v>
      </c>
      <c r="J134" s="20" t="n">
        <v>5</v>
      </c>
      <c r="K134" s="20" t="n">
        <v>222</v>
      </c>
      <c r="L134" s="21">
        <f>ABS(C134)</f>
        <v/>
      </c>
      <c r="M134" s="21">
        <f>ABS(D134)</f>
        <v/>
      </c>
      <c r="N134" s="22">
        <f>(C134-AVERAGE(C$4:C$213))/STDEVP(C$4:C$213)</f>
        <v/>
      </c>
      <c r="O134" s="23">
        <f>L134/MEDIAN(L$4:L$213)</f>
        <v/>
      </c>
      <c r="P134" s="24">
        <f>IF(N134&gt;=요약!$C$5,"대량매수",IF(N134&lt;=-요약!$C$5,"대량매도",""))</f>
        <v/>
      </c>
      <c r="Q134" s="22">
        <f>(D134-AVERAGE(D$4:D$213))/STDEVP(D$4:D$213)</f>
        <v/>
      </c>
      <c r="R134" s="23">
        <f>M134/MEDIAN(M$4:M$213)</f>
        <v/>
      </c>
      <c r="S134" s="24">
        <f>IF(Q134&gt;=요약!$C$5,"대량매수",IF(Q134&lt;=-요약!$C$5,"대량매도",""))</f>
        <v/>
      </c>
    </row>
    <row r="135">
      <c r="A135" s="19" t="n">
        <v>46104</v>
      </c>
      <c r="B135" s="20" t="n">
        <v>4647</v>
      </c>
      <c r="C135" s="20" t="n">
        <v>-2592</v>
      </c>
      <c r="D135" s="20" t="n">
        <v>-1998</v>
      </c>
      <c r="E135" s="20" t="n">
        <v>272</v>
      </c>
      <c r="F135" s="20" t="n">
        <v>-20</v>
      </c>
      <c r="G135" s="20" t="n">
        <v>-2175</v>
      </c>
      <c r="H135" s="20" t="n">
        <v>-1</v>
      </c>
      <c r="I135" s="20" t="n">
        <v>-57</v>
      </c>
      <c r="J135" s="20" t="n">
        <v>-16</v>
      </c>
      <c r="K135" s="20" t="n">
        <v>-58</v>
      </c>
      <c r="L135" s="21">
        <f>ABS(C135)</f>
        <v/>
      </c>
      <c r="M135" s="21">
        <f>ABS(D135)</f>
        <v/>
      </c>
      <c r="N135" s="22">
        <f>(C135-AVERAGE(C$4:C$213))/STDEVP(C$4:C$213)</f>
        <v/>
      </c>
      <c r="O135" s="23">
        <f>L135/MEDIAN(L$4:L$213)</f>
        <v/>
      </c>
      <c r="P135" s="24">
        <f>IF(N135&gt;=요약!$C$5,"대량매수",IF(N135&lt;=-요약!$C$5,"대량매도",""))</f>
        <v/>
      </c>
      <c r="Q135" s="22">
        <f>(D135-AVERAGE(D$4:D$213))/STDEVP(D$4:D$213)</f>
        <v/>
      </c>
      <c r="R135" s="23">
        <f>M135/MEDIAN(M$4:M$213)</f>
        <v/>
      </c>
      <c r="S135" s="24">
        <f>IF(Q135&gt;=요약!$C$5,"대량매수",IF(Q135&lt;=-요약!$C$5,"대량매도",""))</f>
        <v/>
      </c>
    </row>
    <row r="136">
      <c r="A136" s="19" t="n">
        <v>46101</v>
      </c>
      <c r="B136" s="20" t="n">
        <v>-1171</v>
      </c>
      <c r="C136" s="20" t="n">
        <v>2347</v>
      </c>
      <c r="D136" s="20" t="n">
        <v>-942</v>
      </c>
      <c r="E136" s="20" t="n">
        <v>229</v>
      </c>
      <c r="F136" s="20" t="n">
        <v>67</v>
      </c>
      <c r="G136" s="20" t="n">
        <v>-827</v>
      </c>
      <c r="H136" s="20" t="n">
        <v>-29</v>
      </c>
      <c r="I136" s="20" t="n">
        <v>-171</v>
      </c>
      <c r="J136" s="20" t="n">
        <v>-212</v>
      </c>
      <c r="K136" s="20" t="n">
        <v>-234</v>
      </c>
      <c r="L136" s="21">
        <f>ABS(C136)</f>
        <v/>
      </c>
      <c r="M136" s="21">
        <f>ABS(D136)</f>
        <v/>
      </c>
      <c r="N136" s="22">
        <f>(C136-AVERAGE(C$4:C$213))/STDEVP(C$4:C$213)</f>
        <v/>
      </c>
      <c r="O136" s="23">
        <f>L136/MEDIAN(L$4:L$213)</f>
        <v/>
      </c>
      <c r="P136" s="24">
        <f>IF(N136&gt;=요약!$C$5,"대량매수",IF(N136&lt;=-요약!$C$5,"대량매도",""))</f>
        <v/>
      </c>
      <c r="Q136" s="22">
        <f>(D136-AVERAGE(D$4:D$213))/STDEVP(D$4:D$213)</f>
        <v/>
      </c>
      <c r="R136" s="23">
        <f>M136/MEDIAN(M$4:M$213)</f>
        <v/>
      </c>
      <c r="S136" s="24">
        <f>IF(Q136&gt;=요약!$C$5,"대량매수",IF(Q136&lt;=-요약!$C$5,"대량매도",""))</f>
        <v/>
      </c>
    </row>
    <row r="137">
      <c r="A137" s="19" t="n">
        <v>46100</v>
      </c>
      <c r="B137" s="20" t="n">
        <v>5018</v>
      </c>
      <c r="C137" s="20" t="n">
        <v>-2004</v>
      </c>
      <c r="D137" s="20" t="n">
        <v>-2612</v>
      </c>
      <c r="E137" s="20" t="n">
        <v>-1812</v>
      </c>
      <c r="F137" s="20" t="n">
        <v>46</v>
      </c>
      <c r="G137" s="20" t="n">
        <v>-634</v>
      </c>
      <c r="H137" s="20" t="n">
        <v>-8</v>
      </c>
      <c r="I137" s="20" t="n">
        <v>-186</v>
      </c>
      <c r="J137" s="20" t="n">
        <v>-17</v>
      </c>
      <c r="K137" s="20" t="n">
        <v>-403</v>
      </c>
      <c r="L137" s="21">
        <f>ABS(C137)</f>
        <v/>
      </c>
      <c r="M137" s="21">
        <f>ABS(D137)</f>
        <v/>
      </c>
      <c r="N137" s="22">
        <f>(C137-AVERAGE(C$4:C$213))/STDEVP(C$4:C$213)</f>
        <v/>
      </c>
      <c r="O137" s="23">
        <f>L137/MEDIAN(L$4:L$213)</f>
        <v/>
      </c>
      <c r="P137" s="24">
        <f>IF(N137&gt;=요약!$C$5,"대량매수",IF(N137&lt;=-요약!$C$5,"대량매도",""))</f>
        <v/>
      </c>
      <c r="Q137" s="22">
        <f>(D137-AVERAGE(D$4:D$213))/STDEVP(D$4:D$213)</f>
        <v/>
      </c>
      <c r="R137" s="23">
        <f>M137/MEDIAN(M$4:M$213)</f>
        <v/>
      </c>
      <c r="S137" s="24">
        <f>IF(Q137&gt;=요약!$C$5,"대량매수",IF(Q137&lt;=-요약!$C$5,"대량매도",""))</f>
        <v/>
      </c>
    </row>
    <row r="138">
      <c r="A138" s="19" t="n">
        <v>46099</v>
      </c>
      <c r="B138" s="20" t="n">
        <v>-3928</v>
      </c>
      <c r="C138" s="20" t="n">
        <v>4924</v>
      </c>
      <c r="D138" s="20" t="n">
        <v>-253</v>
      </c>
      <c r="E138" s="20" t="n">
        <v>306</v>
      </c>
      <c r="F138" s="20" t="n">
        <v>-27</v>
      </c>
      <c r="G138" s="20" t="n">
        <v>-263</v>
      </c>
      <c r="H138" s="20" t="n">
        <v>-10</v>
      </c>
      <c r="I138" s="20" t="n">
        <v>-169</v>
      </c>
      <c r="J138" s="20" t="n">
        <v>-91</v>
      </c>
      <c r="K138" s="20" t="n">
        <v>-743</v>
      </c>
      <c r="L138" s="21">
        <f>ABS(C138)</f>
        <v/>
      </c>
      <c r="M138" s="21">
        <f>ABS(D138)</f>
        <v/>
      </c>
      <c r="N138" s="22">
        <f>(C138-AVERAGE(C$4:C$213))/STDEVP(C$4:C$213)</f>
        <v/>
      </c>
      <c r="O138" s="23">
        <f>L138/MEDIAN(L$4:L$213)</f>
        <v/>
      </c>
      <c r="P138" s="24">
        <f>IF(N138&gt;=요약!$C$5,"대량매수",IF(N138&lt;=-요약!$C$5,"대량매도",""))</f>
        <v/>
      </c>
      <c r="Q138" s="22">
        <f>(D138-AVERAGE(D$4:D$213))/STDEVP(D$4:D$213)</f>
        <v/>
      </c>
      <c r="R138" s="23">
        <f>M138/MEDIAN(M$4:M$213)</f>
        <v/>
      </c>
      <c r="S138" s="24">
        <f>IF(Q138&gt;=요약!$C$5,"대량매수",IF(Q138&lt;=-요약!$C$5,"대량매도",""))</f>
        <v/>
      </c>
    </row>
    <row r="139">
      <c r="A139" s="19" t="n">
        <v>46098</v>
      </c>
      <c r="B139" s="20" t="n">
        <v>1380</v>
      </c>
      <c r="C139" s="20" t="n">
        <v>-585</v>
      </c>
      <c r="D139" s="20" t="n">
        <v>-359</v>
      </c>
      <c r="E139" s="20" t="n">
        <v>-226</v>
      </c>
      <c r="F139" s="20" t="n">
        <v>-23</v>
      </c>
      <c r="G139" s="20" t="n">
        <v>282</v>
      </c>
      <c r="H139" s="20" t="n">
        <v>-21</v>
      </c>
      <c r="I139" s="20" t="n">
        <v>-63</v>
      </c>
      <c r="J139" s="20" t="n">
        <v>-308</v>
      </c>
      <c r="K139" s="20" t="n">
        <v>-436</v>
      </c>
      <c r="L139" s="21">
        <f>ABS(C139)</f>
        <v/>
      </c>
      <c r="M139" s="21">
        <f>ABS(D139)</f>
        <v/>
      </c>
      <c r="N139" s="22">
        <f>(C139-AVERAGE(C$4:C$213))/STDEVP(C$4:C$213)</f>
        <v/>
      </c>
      <c r="O139" s="23">
        <f>L139/MEDIAN(L$4:L$213)</f>
        <v/>
      </c>
      <c r="P139" s="24">
        <f>IF(N139&gt;=요약!$C$5,"대량매수",IF(N139&lt;=-요약!$C$5,"대량매도",""))</f>
        <v/>
      </c>
      <c r="Q139" s="22">
        <f>(D139-AVERAGE(D$4:D$213))/STDEVP(D$4:D$213)</f>
        <v/>
      </c>
      <c r="R139" s="23">
        <f>M139/MEDIAN(M$4:M$213)</f>
        <v/>
      </c>
      <c r="S139" s="24">
        <f>IF(Q139&gt;=요약!$C$5,"대량매수",IF(Q139&lt;=-요약!$C$5,"대량매도",""))</f>
        <v/>
      </c>
    </row>
    <row r="140">
      <c r="A140" s="19" t="n">
        <v>46097</v>
      </c>
      <c r="B140" s="20" t="n">
        <v>7104</v>
      </c>
      <c r="C140" s="20" t="n">
        <v>-5012</v>
      </c>
      <c r="D140" s="20" t="n">
        <v>-1696</v>
      </c>
      <c r="E140" s="20" t="n">
        <v>-1131</v>
      </c>
      <c r="F140" s="20" t="n">
        <v>-13</v>
      </c>
      <c r="G140" s="20" t="n">
        <v>-67</v>
      </c>
      <c r="H140" s="20" t="n">
        <v>3</v>
      </c>
      <c r="I140" s="20" t="n">
        <v>-496</v>
      </c>
      <c r="J140" s="20" t="n">
        <v>8</v>
      </c>
      <c r="K140" s="20" t="n">
        <v>-395</v>
      </c>
      <c r="L140" s="21">
        <f>ABS(C140)</f>
        <v/>
      </c>
      <c r="M140" s="21">
        <f>ABS(D140)</f>
        <v/>
      </c>
      <c r="N140" s="22">
        <f>(C140-AVERAGE(C$4:C$213))/STDEVP(C$4:C$213)</f>
        <v/>
      </c>
      <c r="O140" s="23">
        <f>L140/MEDIAN(L$4:L$213)</f>
        <v/>
      </c>
      <c r="P140" s="24">
        <f>IF(N140&gt;=요약!$C$5,"대량매수",IF(N140&lt;=-요약!$C$5,"대량매도",""))</f>
        <v/>
      </c>
      <c r="Q140" s="22">
        <f>(D140-AVERAGE(D$4:D$213))/STDEVP(D$4:D$213)</f>
        <v/>
      </c>
      <c r="R140" s="23">
        <f>M140/MEDIAN(M$4:M$213)</f>
        <v/>
      </c>
      <c r="S140" s="24">
        <f>IF(Q140&gt;=요약!$C$5,"대량매수",IF(Q140&lt;=-요약!$C$5,"대량매도",""))</f>
        <v/>
      </c>
    </row>
    <row r="141">
      <c r="A141" s="19" t="n">
        <v>46094</v>
      </c>
      <c r="B141" s="20" t="n">
        <v>-1325</v>
      </c>
      <c r="C141" s="20" t="n">
        <v>-829</v>
      </c>
      <c r="D141" s="20" t="n">
        <v>2526</v>
      </c>
      <c r="E141" s="20" t="n">
        <v>1127</v>
      </c>
      <c r="F141" s="20" t="n">
        <v>88</v>
      </c>
      <c r="G141" s="20" t="n">
        <v>1123</v>
      </c>
      <c r="H141" s="20" t="n">
        <v>-2</v>
      </c>
      <c r="I141" s="20" t="n">
        <v>-207</v>
      </c>
      <c r="J141" s="20" t="n">
        <v>397</v>
      </c>
      <c r="K141" s="20" t="n">
        <v>-373</v>
      </c>
      <c r="L141" s="21">
        <f>ABS(C141)</f>
        <v/>
      </c>
      <c r="M141" s="21">
        <f>ABS(D141)</f>
        <v/>
      </c>
      <c r="N141" s="22">
        <f>(C141-AVERAGE(C$4:C$213))/STDEVP(C$4:C$213)</f>
        <v/>
      </c>
      <c r="O141" s="23">
        <f>L141/MEDIAN(L$4:L$213)</f>
        <v/>
      </c>
      <c r="P141" s="24">
        <f>IF(N141&gt;=요약!$C$5,"대량매수",IF(N141&lt;=-요약!$C$5,"대량매도",""))</f>
        <v/>
      </c>
      <c r="Q141" s="22">
        <f>(D141-AVERAGE(D$4:D$213))/STDEVP(D$4:D$213)</f>
        <v/>
      </c>
      <c r="R141" s="23">
        <f>M141/MEDIAN(M$4:M$213)</f>
        <v/>
      </c>
      <c r="S141" s="24">
        <f>IF(Q141&gt;=요약!$C$5,"대량매수",IF(Q141&lt;=-요약!$C$5,"대량매도",""))</f>
        <v/>
      </c>
    </row>
    <row r="142">
      <c r="A142" s="19" t="n">
        <v>46093</v>
      </c>
      <c r="B142" s="20" t="n">
        <v>5064</v>
      </c>
      <c r="C142" s="20" t="n">
        <v>-6867</v>
      </c>
      <c r="D142" s="20" t="n">
        <v>2531</v>
      </c>
      <c r="E142" s="20" t="n">
        <v>1870</v>
      </c>
      <c r="F142" s="20" t="n">
        <v>-18</v>
      </c>
      <c r="G142" s="20" t="n">
        <v>617</v>
      </c>
      <c r="H142" s="20" t="n">
        <v>-2</v>
      </c>
      <c r="I142" s="20" t="n">
        <v>-335</v>
      </c>
      <c r="J142" s="20" t="n">
        <v>400</v>
      </c>
      <c r="K142" s="20" t="n">
        <v>-728</v>
      </c>
      <c r="L142" s="21">
        <f>ABS(C142)</f>
        <v/>
      </c>
      <c r="M142" s="21">
        <f>ABS(D142)</f>
        <v/>
      </c>
      <c r="N142" s="22">
        <f>(C142-AVERAGE(C$4:C$213))/STDEVP(C$4:C$213)</f>
        <v/>
      </c>
      <c r="O142" s="23">
        <f>L142/MEDIAN(L$4:L$213)</f>
        <v/>
      </c>
      <c r="P142" s="24">
        <f>IF(N142&gt;=요약!$C$5,"대량매수",IF(N142&lt;=-요약!$C$5,"대량매도",""))</f>
        <v/>
      </c>
      <c r="Q142" s="22">
        <f>(D142-AVERAGE(D$4:D$213))/STDEVP(D$4:D$213)</f>
        <v/>
      </c>
      <c r="R142" s="23">
        <f>M142/MEDIAN(M$4:M$213)</f>
        <v/>
      </c>
      <c r="S142" s="24">
        <f>IF(Q142&gt;=요약!$C$5,"대량매수",IF(Q142&lt;=-요약!$C$5,"대량매도",""))</f>
        <v/>
      </c>
    </row>
    <row r="143">
      <c r="A143" s="19" t="n">
        <v>46092</v>
      </c>
      <c r="B143" s="20" t="n">
        <v>2542</v>
      </c>
      <c r="C143" s="20" t="n">
        <v>-812</v>
      </c>
      <c r="D143" s="20" t="n">
        <v>-1267</v>
      </c>
      <c r="E143" s="20" t="n">
        <v>-773</v>
      </c>
      <c r="F143" s="20" t="n">
        <v>-27</v>
      </c>
      <c r="G143" s="20" t="n">
        <v>-382</v>
      </c>
      <c r="H143" s="20" t="n">
        <v>0</v>
      </c>
      <c r="I143" s="20" t="n">
        <v>-210</v>
      </c>
      <c r="J143" s="20" t="n">
        <v>125</v>
      </c>
      <c r="K143" s="20" t="n">
        <v>-464</v>
      </c>
      <c r="L143" s="21">
        <f>ABS(C143)</f>
        <v/>
      </c>
      <c r="M143" s="21">
        <f>ABS(D143)</f>
        <v/>
      </c>
      <c r="N143" s="22">
        <f>(C143-AVERAGE(C$4:C$213))/STDEVP(C$4:C$213)</f>
        <v/>
      </c>
      <c r="O143" s="23">
        <f>L143/MEDIAN(L$4:L$213)</f>
        <v/>
      </c>
      <c r="P143" s="24">
        <f>IF(N143&gt;=요약!$C$5,"대량매수",IF(N143&lt;=-요약!$C$5,"대량매도",""))</f>
        <v/>
      </c>
      <c r="Q143" s="22">
        <f>(D143-AVERAGE(D$4:D$213))/STDEVP(D$4:D$213)</f>
        <v/>
      </c>
      <c r="R143" s="23">
        <f>M143/MEDIAN(M$4:M$213)</f>
        <v/>
      </c>
      <c r="S143" s="24">
        <f>IF(Q143&gt;=요약!$C$5,"대량매수",IF(Q143&lt;=-요약!$C$5,"대량매도",""))</f>
        <v/>
      </c>
    </row>
    <row r="144">
      <c r="A144" s="19" t="n">
        <v>46091</v>
      </c>
      <c r="B144" s="20" t="n">
        <v>136</v>
      </c>
      <c r="C144" s="20" t="n">
        <v>-4021</v>
      </c>
      <c r="D144" s="20" t="n">
        <v>4298</v>
      </c>
      <c r="E144" s="20" t="n">
        <v>3583</v>
      </c>
      <c r="F144" s="20" t="n">
        <v>74</v>
      </c>
      <c r="G144" s="20" t="n">
        <v>156</v>
      </c>
      <c r="H144" s="20" t="n">
        <v>-10</v>
      </c>
      <c r="I144" s="20" t="n">
        <v>-62</v>
      </c>
      <c r="J144" s="20" t="n">
        <v>557</v>
      </c>
      <c r="K144" s="20" t="n">
        <v>-414</v>
      </c>
      <c r="L144" s="21">
        <f>ABS(C144)</f>
        <v/>
      </c>
      <c r="M144" s="21">
        <f>ABS(D144)</f>
        <v/>
      </c>
      <c r="N144" s="22">
        <f>(C144-AVERAGE(C$4:C$213))/STDEVP(C$4:C$213)</f>
        <v/>
      </c>
      <c r="O144" s="23">
        <f>L144/MEDIAN(L$4:L$213)</f>
        <v/>
      </c>
      <c r="P144" s="24">
        <f>IF(N144&gt;=요약!$C$5,"대량매수",IF(N144&lt;=-요약!$C$5,"대량매도",""))</f>
        <v/>
      </c>
      <c r="Q144" s="22">
        <f>(D144-AVERAGE(D$4:D$213))/STDEVP(D$4:D$213)</f>
        <v/>
      </c>
      <c r="R144" s="23">
        <f>M144/MEDIAN(M$4:M$213)</f>
        <v/>
      </c>
      <c r="S144" s="24">
        <f>IF(Q144&gt;=요약!$C$5,"대량매수",IF(Q144&lt;=-요약!$C$5,"대량매도",""))</f>
        <v/>
      </c>
    </row>
    <row r="145">
      <c r="A145" s="19" t="n">
        <v>46090</v>
      </c>
      <c r="B145" s="20" t="n">
        <v>5065</v>
      </c>
      <c r="C145" s="20" t="n">
        <v>-5389</v>
      </c>
      <c r="D145" s="20" t="n">
        <v>447</v>
      </c>
      <c r="E145" s="20" t="n">
        <v>1709</v>
      </c>
      <c r="F145" s="20" t="n">
        <v>10</v>
      </c>
      <c r="G145" s="20" t="n">
        <v>-1789</v>
      </c>
      <c r="H145" s="20" t="n">
        <v>-11</v>
      </c>
      <c r="I145" s="20" t="n">
        <v>-81</v>
      </c>
      <c r="J145" s="20" t="n">
        <v>609</v>
      </c>
      <c r="K145" s="20" t="n">
        <v>-123</v>
      </c>
      <c r="L145" s="21">
        <f>ABS(C145)</f>
        <v/>
      </c>
      <c r="M145" s="21">
        <f>ABS(D145)</f>
        <v/>
      </c>
      <c r="N145" s="22">
        <f>(C145-AVERAGE(C$4:C$213))/STDEVP(C$4:C$213)</f>
        <v/>
      </c>
      <c r="O145" s="23">
        <f>L145/MEDIAN(L$4:L$213)</f>
        <v/>
      </c>
      <c r="P145" s="24">
        <f>IF(N145&gt;=요약!$C$5,"대량매수",IF(N145&lt;=-요약!$C$5,"대량매도",""))</f>
        <v/>
      </c>
      <c r="Q145" s="22">
        <f>(D145-AVERAGE(D$4:D$213))/STDEVP(D$4:D$213)</f>
        <v/>
      </c>
      <c r="R145" s="23">
        <f>M145/MEDIAN(M$4:M$213)</f>
        <v/>
      </c>
      <c r="S145" s="24">
        <f>IF(Q145&gt;=요약!$C$5,"대량매수",IF(Q145&lt;=-요약!$C$5,"대량매도",""))</f>
        <v/>
      </c>
    </row>
    <row r="146">
      <c r="A146" s="19" t="n">
        <v>46087</v>
      </c>
      <c r="B146" s="20" t="n">
        <v>-800</v>
      </c>
      <c r="C146" s="20" t="n">
        <v>-3862</v>
      </c>
      <c r="D146" s="20" t="n">
        <v>4761</v>
      </c>
      <c r="E146" s="20" t="n">
        <v>2200</v>
      </c>
      <c r="F146" s="20" t="n">
        <v>269</v>
      </c>
      <c r="G146" s="20" t="n">
        <v>692</v>
      </c>
      <c r="H146" s="20" t="n">
        <v>16</v>
      </c>
      <c r="I146" s="20" t="n">
        <v>-72</v>
      </c>
      <c r="J146" s="20" t="n">
        <v>1656</v>
      </c>
      <c r="K146" s="20" t="n">
        <v>-99</v>
      </c>
      <c r="L146" s="21">
        <f>ABS(C146)</f>
        <v/>
      </c>
      <c r="M146" s="21">
        <f>ABS(D146)</f>
        <v/>
      </c>
      <c r="N146" s="22">
        <f>(C146-AVERAGE(C$4:C$213))/STDEVP(C$4:C$213)</f>
        <v/>
      </c>
      <c r="O146" s="23">
        <f>L146/MEDIAN(L$4:L$213)</f>
        <v/>
      </c>
      <c r="P146" s="24">
        <f>IF(N146&gt;=요약!$C$5,"대량매수",IF(N146&lt;=-요약!$C$5,"대량매도",""))</f>
        <v/>
      </c>
      <c r="Q146" s="22">
        <f>(D146-AVERAGE(D$4:D$213))/STDEVP(D$4:D$213)</f>
        <v/>
      </c>
      <c r="R146" s="23">
        <f>M146/MEDIAN(M$4:M$213)</f>
        <v/>
      </c>
      <c r="S146" s="24">
        <f>IF(Q146&gt;=요약!$C$5,"대량매수",IF(Q146&lt;=-요약!$C$5,"대량매도",""))</f>
        <v/>
      </c>
    </row>
    <row r="147">
      <c r="A147" s="19" t="n">
        <v>46086</v>
      </c>
      <c r="B147" s="20" t="n">
        <v>-15514</v>
      </c>
      <c r="C147" s="20" t="n">
        <v>8322</v>
      </c>
      <c r="D147" s="20" t="n">
        <v>7393</v>
      </c>
      <c r="E147" s="20" t="n">
        <v>4222</v>
      </c>
      <c r="F147" s="20" t="n">
        <v>101</v>
      </c>
      <c r="G147" s="20" t="n">
        <v>2517</v>
      </c>
      <c r="H147" s="20" t="n">
        <v>2</v>
      </c>
      <c r="I147" s="20" t="n">
        <v>-165</v>
      </c>
      <c r="J147" s="20" t="n">
        <v>717</v>
      </c>
      <c r="K147" s="20" t="n">
        <v>-201</v>
      </c>
      <c r="L147" s="21">
        <f>ABS(C147)</f>
        <v/>
      </c>
      <c r="M147" s="21">
        <f>ABS(D147)</f>
        <v/>
      </c>
      <c r="N147" s="22">
        <f>(C147-AVERAGE(C$4:C$213))/STDEVP(C$4:C$213)</f>
        <v/>
      </c>
      <c r="O147" s="23">
        <f>L147/MEDIAN(L$4:L$213)</f>
        <v/>
      </c>
      <c r="P147" s="24">
        <f>IF(N147&gt;=요약!$C$5,"대량매수",IF(N147&lt;=-요약!$C$5,"대량매도",""))</f>
        <v/>
      </c>
      <c r="Q147" s="22">
        <f>(D147-AVERAGE(D$4:D$213))/STDEVP(D$4:D$213)</f>
        <v/>
      </c>
      <c r="R147" s="23">
        <f>M147/MEDIAN(M$4:M$213)</f>
        <v/>
      </c>
      <c r="S147" s="24">
        <f>IF(Q147&gt;=요약!$C$5,"대량매수",IF(Q147&lt;=-요약!$C$5,"대량매도",""))</f>
        <v/>
      </c>
    </row>
    <row r="148">
      <c r="A148" s="19" t="n">
        <v>46085</v>
      </c>
      <c r="B148" s="20" t="n">
        <v>-12030</v>
      </c>
      <c r="C148" s="20" t="n">
        <v>11703</v>
      </c>
      <c r="D148" s="20" t="n">
        <v>323</v>
      </c>
      <c r="E148" s="20" t="n">
        <v>846</v>
      </c>
      <c r="F148" s="20" t="n">
        <v>6</v>
      </c>
      <c r="G148" s="20" t="n">
        <v>-357</v>
      </c>
      <c r="H148" s="20" t="n">
        <v>-1</v>
      </c>
      <c r="I148" s="20" t="n">
        <v>-73</v>
      </c>
      <c r="J148" s="20" t="n">
        <v>-98</v>
      </c>
      <c r="K148" s="20" t="n">
        <v>4</v>
      </c>
      <c r="L148" s="21">
        <f>ABS(C148)</f>
        <v/>
      </c>
      <c r="M148" s="21">
        <f>ABS(D148)</f>
        <v/>
      </c>
      <c r="N148" s="22">
        <f>(C148-AVERAGE(C$4:C$213))/STDEVP(C$4:C$213)</f>
        <v/>
      </c>
      <c r="O148" s="23">
        <f>L148/MEDIAN(L$4:L$213)</f>
        <v/>
      </c>
      <c r="P148" s="24">
        <f>IF(N148&gt;=요약!$C$5,"대량매수",IF(N148&lt;=-요약!$C$5,"대량매도",""))</f>
        <v/>
      </c>
      <c r="Q148" s="22">
        <f>(D148-AVERAGE(D$4:D$213))/STDEVP(D$4:D$213)</f>
        <v/>
      </c>
      <c r="R148" s="23">
        <f>M148/MEDIAN(M$4:M$213)</f>
        <v/>
      </c>
      <c r="S148" s="24">
        <f>IF(Q148&gt;=요약!$C$5,"대량매수",IF(Q148&lt;=-요약!$C$5,"대량매도",""))</f>
        <v/>
      </c>
    </row>
    <row r="149">
      <c r="A149" s="19" t="n">
        <v>46084</v>
      </c>
      <c r="B149" s="20" t="n">
        <v>-7614</v>
      </c>
      <c r="C149" s="20" t="n">
        <v>5934</v>
      </c>
      <c r="D149" s="20" t="n">
        <v>2388</v>
      </c>
      <c r="E149" s="20" t="n">
        <v>1391</v>
      </c>
      <c r="F149" s="20" t="n">
        <v>25</v>
      </c>
      <c r="G149" s="20" t="n">
        <v>726</v>
      </c>
      <c r="H149" s="20" t="n">
        <v>10</v>
      </c>
      <c r="I149" s="20" t="n">
        <v>-97</v>
      </c>
      <c r="J149" s="20" t="n">
        <v>333</v>
      </c>
      <c r="K149" s="20" t="n">
        <v>-708</v>
      </c>
      <c r="L149" s="21">
        <f>ABS(C149)</f>
        <v/>
      </c>
      <c r="M149" s="21">
        <f>ABS(D149)</f>
        <v/>
      </c>
      <c r="N149" s="22">
        <f>(C149-AVERAGE(C$4:C$213))/STDEVP(C$4:C$213)</f>
        <v/>
      </c>
      <c r="O149" s="23">
        <f>L149/MEDIAN(L$4:L$213)</f>
        <v/>
      </c>
      <c r="P149" s="24">
        <f>IF(N149&gt;=요약!$C$5,"대량매수",IF(N149&lt;=-요약!$C$5,"대량매도",""))</f>
        <v/>
      </c>
      <c r="Q149" s="22">
        <f>(D149-AVERAGE(D$4:D$213))/STDEVP(D$4:D$213)</f>
        <v/>
      </c>
      <c r="R149" s="23">
        <f>M149/MEDIAN(M$4:M$213)</f>
        <v/>
      </c>
      <c r="S149" s="24">
        <f>IF(Q149&gt;=요약!$C$5,"대량매수",IF(Q149&lt;=-요약!$C$5,"대량매도",""))</f>
        <v/>
      </c>
    </row>
    <row r="150">
      <c r="A150" s="19" t="n">
        <v>46080</v>
      </c>
      <c r="B150" s="20" t="n">
        <v>-4724</v>
      </c>
      <c r="C150" s="20" t="n">
        <v>623</v>
      </c>
      <c r="D150" s="20" t="n">
        <v>4460</v>
      </c>
      <c r="E150" s="20" t="n">
        <v>3962</v>
      </c>
      <c r="F150" s="20" t="n">
        <v>41</v>
      </c>
      <c r="G150" s="20" t="n">
        <v>387</v>
      </c>
      <c r="H150" s="20" t="n">
        <v>-1</v>
      </c>
      <c r="I150" s="20" t="n">
        <v>-58</v>
      </c>
      <c r="J150" s="20" t="n">
        <v>129</v>
      </c>
      <c r="K150" s="20" t="n">
        <v>-358</v>
      </c>
      <c r="L150" s="21">
        <f>ABS(C150)</f>
        <v/>
      </c>
      <c r="M150" s="21">
        <f>ABS(D150)</f>
        <v/>
      </c>
      <c r="N150" s="22">
        <f>(C150-AVERAGE(C$4:C$213))/STDEVP(C$4:C$213)</f>
        <v/>
      </c>
      <c r="O150" s="23">
        <f>L150/MEDIAN(L$4:L$213)</f>
        <v/>
      </c>
      <c r="P150" s="24">
        <f>IF(N150&gt;=요약!$C$5,"대량매수",IF(N150&lt;=-요약!$C$5,"대량매도",""))</f>
        <v/>
      </c>
      <c r="Q150" s="22">
        <f>(D150-AVERAGE(D$4:D$213))/STDEVP(D$4:D$213)</f>
        <v/>
      </c>
      <c r="R150" s="23">
        <f>M150/MEDIAN(M$4:M$213)</f>
        <v/>
      </c>
      <c r="S150" s="24">
        <f>IF(Q150&gt;=요약!$C$5,"대량매수",IF(Q150&lt;=-요약!$C$5,"대량매도",""))</f>
        <v/>
      </c>
    </row>
    <row r="151">
      <c r="A151" s="19" t="n">
        <v>46079</v>
      </c>
      <c r="B151" s="20" t="n">
        <v>-5459</v>
      </c>
      <c r="C151" s="20" t="n">
        <v>4247</v>
      </c>
      <c r="D151" s="20" t="n">
        <v>1901</v>
      </c>
      <c r="E151" s="20" t="n">
        <v>1513</v>
      </c>
      <c r="F151" s="20" t="n">
        <v>-63</v>
      </c>
      <c r="G151" s="20" t="n">
        <v>370</v>
      </c>
      <c r="H151" s="20" t="n">
        <v>2</v>
      </c>
      <c r="I151" s="20" t="n">
        <v>-151</v>
      </c>
      <c r="J151" s="20" t="n">
        <v>231</v>
      </c>
      <c r="K151" s="20" t="n">
        <v>-689</v>
      </c>
      <c r="L151" s="21">
        <f>ABS(C151)</f>
        <v/>
      </c>
      <c r="M151" s="21">
        <f>ABS(D151)</f>
        <v/>
      </c>
      <c r="N151" s="22">
        <f>(C151-AVERAGE(C$4:C$213))/STDEVP(C$4:C$213)</f>
        <v/>
      </c>
      <c r="O151" s="23">
        <f>L151/MEDIAN(L$4:L$213)</f>
        <v/>
      </c>
      <c r="P151" s="24">
        <f>IF(N151&gt;=요약!$C$5,"대량매수",IF(N151&lt;=-요약!$C$5,"대량매도",""))</f>
        <v/>
      </c>
      <c r="Q151" s="22">
        <f>(D151-AVERAGE(D$4:D$213))/STDEVP(D$4:D$213)</f>
        <v/>
      </c>
      <c r="R151" s="23">
        <f>M151/MEDIAN(M$4:M$213)</f>
        <v/>
      </c>
      <c r="S151" s="24">
        <f>IF(Q151&gt;=요약!$C$5,"대량매수",IF(Q151&lt;=-요약!$C$5,"대량매도",""))</f>
        <v/>
      </c>
    </row>
    <row r="152">
      <c r="A152" s="19" t="n">
        <v>46078</v>
      </c>
      <c r="B152" s="20" t="n">
        <v>3906</v>
      </c>
      <c r="C152" s="20" t="n">
        <v>-2159</v>
      </c>
      <c r="D152" s="20" t="n">
        <v>-1277</v>
      </c>
      <c r="E152" s="20" t="n">
        <v>-506</v>
      </c>
      <c r="F152" s="20" t="n">
        <v>-22</v>
      </c>
      <c r="G152" s="20" t="n">
        <v>-609</v>
      </c>
      <c r="H152" s="20" t="n">
        <v>-9</v>
      </c>
      <c r="I152" s="20" t="n">
        <v>-121</v>
      </c>
      <c r="J152" s="20" t="n">
        <v>-10</v>
      </c>
      <c r="K152" s="20" t="n">
        <v>-470</v>
      </c>
      <c r="L152" s="21">
        <f>ABS(C152)</f>
        <v/>
      </c>
      <c r="M152" s="21">
        <f>ABS(D152)</f>
        <v/>
      </c>
      <c r="N152" s="22">
        <f>(C152-AVERAGE(C$4:C$213))/STDEVP(C$4:C$213)</f>
        <v/>
      </c>
      <c r="O152" s="23">
        <f>L152/MEDIAN(L$4:L$213)</f>
        <v/>
      </c>
      <c r="P152" s="24">
        <f>IF(N152&gt;=요약!$C$5,"대량매수",IF(N152&lt;=-요약!$C$5,"대량매도",""))</f>
        <v/>
      </c>
      <c r="Q152" s="22">
        <f>(D152-AVERAGE(D$4:D$213))/STDEVP(D$4:D$213)</f>
        <v/>
      </c>
      <c r="R152" s="23">
        <f>M152/MEDIAN(M$4:M$213)</f>
        <v/>
      </c>
      <c r="S152" s="24">
        <f>IF(Q152&gt;=요약!$C$5,"대량매수",IF(Q152&lt;=-요약!$C$5,"대량매도",""))</f>
        <v/>
      </c>
    </row>
    <row r="153">
      <c r="A153" s="19" t="n">
        <v>46077</v>
      </c>
      <c r="B153" s="20" t="n">
        <v>2286</v>
      </c>
      <c r="C153" s="20" t="n">
        <v>2790</v>
      </c>
      <c r="D153" s="20" t="n">
        <v>-1468</v>
      </c>
      <c r="E153" s="20" t="n">
        <v>-1200</v>
      </c>
      <c r="F153" s="20" t="n">
        <v>111</v>
      </c>
      <c r="G153" s="20" t="n">
        <v>-384</v>
      </c>
      <c r="H153" s="20" t="n">
        <v>4</v>
      </c>
      <c r="I153" s="20" t="n">
        <v>-284</v>
      </c>
      <c r="J153" s="20" t="n">
        <v>285</v>
      </c>
      <c r="K153" s="20" t="n">
        <v>-3608</v>
      </c>
      <c r="L153" s="21">
        <f>ABS(C153)</f>
        <v/>
      </c>
      <c r="M153" s="21">
        <f>ABS(D153)</f>
        <v/>
      </c>
      <c r="N153" s="22">
        <f>(C153-AVERAGE(C$4:C$213))/STDEVP(C$4:C$213)</f>
        <v/>
      </c>
      <c r="O153" s="23">
        <f>L153/MEDIAN(L$4:L$213)</f>
        <v/>
      </c>
      <c r="P153" s="24">
        <f>IF(N153&gt;=요약!$C$5,"대량매수",IF(N153&lt;=-요약!$C$5,"대량매도",""))</f>
        <v/>
      </c>
      <c r="Q153" s="22">
        <f>(D153-AVERAGE(D$4:D$213))/STDEVP(D$4:D$213)</f>
        <v/>
      </c>
      <c r="R153" s="23">
        <f>M153/MEDIAN(M$4:M$213)</f>
        <v/>
      </c>
      <c r="S153" s="24">
        <f>IF(Q153&gt;=요약!$C$5,"대량매수",IF(Q153&lt;=-요약!$C$5,"대량매도",""))</f>
        <v/>
      </c>
    </row>
    <row r="154">
      <c r="A154" s="19" t="n">
        <v>46076</v>
      </c>
      <c r="B154" s="20" t="n">
        <v>2179</v>
      </c>
      <c r="C154" s="20" t="n">
        <v>1805</v>
      </c>
      <c r="D154" s="20" t="n">
        <v>-3624</v>
      </c>
      <c r="E154" s="20" t="n">
        <v>-1786</v>
      </c>
      <c r="F154" s="20" t="n">
        <v>-12</v>
      </c>
      <c r="G154" s="20" t="n">
        <v>-1489</v>
      </c>
      <c r="H154" s="20" t="n">
        <v>0</v>
      </c>
      <c r="I154" s="20" t="n">
        <v>-129</v>
      </c>
      <c r="J154" s="20" t="n">
        <v>-208</v>
      </c>
      <c r="K154" s="20" t="n">
        <v>-360</v>
      </c>
      <c r="L154" s="21">
        <f>ABS(C154)</f>
        <v/>
      </c>
      <c r="M154" s="21">
        <f>ABS(D154)</f>
        <v/>
      </c>
      <c r="N154" s="22">
        <f>(C154-AVERAGE(C$4:C$213))/STDEVP(C$4:C$213)</f>
        <v/>
      </c>
      <c r="O154" s="23">
        <f>L154/MEDIAN(L$4:L$213)</f>
        <v/>
      </c>
      <c r="P154" s="24">
        <f>IF(N154&gt;=요약!$C$5,"대량매수",IF(N154&lt;=-요약!$C$5,"대량매도",""))</f>
        <v/>
      </c>
      <c r="Q154" s="22">
        <f>(D154-AVERAGE(D$4:D$213))/STDEVP(D$4:D$213)</f>
        <v/>
      </c>
      <c r="R154" s="23">
        <f>M154/MEDIAN(M$4:M$213)</f>
        <v/>
      </c>
      <c r="S154" s="24">
        <f>IF(Q154&gt;=요약!$C$5,"대량매수",IF(Q154&lt;=-요약!$C$5,"대량매도",""))</f>
        <v/>
      </c>
    </row>
    <row r="155">
      <c r="A155" s="19" t="n">
        <v>46073</v>
      </c>
      <c r="B155" s="20" t="n">
        <v>2318</v>
      </c>
      <c r="C155" s="20" t="n">
        <v>-2073</v>
      </c>
      <c r="D155" s="20" t="n">
        <v>231</v>
      </c>
      <c r="E155" s="20" t="n">
        <v>954</v>
      </c>
      <c r="F155" s="20" t="n">
        <v>-38</v>
      </c>
      <c r="G155" s="20" t="n">
        <v>-569</v>
      </c>
      <c r="H155" s="20" t="n">
        <v>-8</v>
      </c>
      <c r="I155" s="20" t="n">
        <v>-191</v>
      </c>
      <c r="J155" s="20" t="n">
        <v>82</v>
      </c>
      <c r="K155" s="20" t="n">
        <v>-475</v>
      </c>
      <c r="L155" s="21">
        <f>ABS(C155)</f>
        <v/>
      </c>
      <c r="M155" s="21">
        <f>ABS(D155)</f>
        <v/>
      </c>
      <c r="N155" s="22">
        <f>(C155-AVERAGE(C$4:C$213))/STDEVP(C$4:C$213)</f>
        <v/>
      </c>
      <c r="O155" s="23">
        <f>L155/MEDIAN(L$4:L$213)</f>
        <v/>
      </c>
      <c r="P155" s="24">
        <f>IF(N155&gt;=요약!$C$5,"대량매수",IF(N155&lt;=-요약!$C$5,"대량매도",""))</f>
        <v/>
      </c>
      <c r="Q155" s="22">
        <f>(D155-AVERAGE(D$4:D$213))/STDEVP(D$4:D$213)</f>
        <v/>
      </c>
      <c r="R155" s="23">
        <f>M155/MEDIAN(M$4:M$213)</f>
        <v/>
      </c>
      <c r="S155" s="24">
        <f>IF(Q155&gt;=요약!$C$5,"대량매수",IF(Q155&lt;=-요약!$C$5,"대량매도",""))</f>
        <v/>
      </c>
    </row>
    <row r="156">
      <c r="A156" s="19" t="n">
        <v>46072</v>
      </c>
      <c r="B156" s="20" t="n">
        <v>-18301</v>
      </c>
      <c r="C156" s="20" t="n">
        <v>8540</v>
      </c>
      <c r="D156" s="20" t="n">
        <v>10541</v>
      </c>
      <c r="E156" s="20" t="n">
        <v>9354</v>
      </c>
      <c r="F156" s="20" t="n">
        <v>-168</v>
      </c>
      <c r="G156" s="20" t="n">
        <v>807</v>
      </c>
      <c r="H156" s="20" t="n">
        <v>1</v>
      </c>
      <c r="I156" s="20" t="n">
        <v>-164</v>
      </c>
      <c r="J156" s="20" t="n">
        <v>711</v>
      </c>
      <c r="K156" s="20" t="n">
        <v>-781</v>
      </c>
      <c r="L156" s="21">
        <f>ABS(C156)</f>
        <v/>
      </c>
      <c r="M156" s="21">
        <f>ABS(D156)</f>
        <v/>
      </c>
      <c r="N156" s="22">
        <f>(C156-AVERAGE(C$4:C$213))/STDEVP(C$4:C$213)</f>
        <v/>
      </c>
      <c r="O156" s="23">
        <f>L156/MEDIAN(L$4:L$213)</f>
        <v/>
      </c>
      <c r="P156" s="24">
        <f>IF(N156&gt;=요약!$C$5,"대량매수",IF(N156&lt;=-요약!$C$5,"대량매도",""))</f>
        <v/>
      </c>
      <c r="Q156" s="22">
        <f>(D156-AVERAGE(D$4:D$213))/STDEVP(D$4:D$213)</f>
        <v/>
      </c>
      <c r="R156" s="23">
        <f>M156/MEDIAN(M$4:M$213)</f>
        <v/>
      </c>
      <c r="S156" s="24">
        <f>IF(Q156&gt;=요약!$C$5,"대량매수",IF(Q156&lt;=-요약!$C$5,"대량매도",""))</f>
        <v/>
      </c>
    </row>
    <row r="157">
      <c r="A157" s="19" t="n">
        <v>46066</v>
      </c>
      <c r="B157" s="20" t="n">
        <v>6220</v>
      </c>
      <c r="C157" s="20" t="n">
        <v>-2414</v>
      </c>
      <c r="D157" s="20" t="n">
        <v>-3381</v>
      </c>
      <c r="E157" s="20" t="n">
        <v>-2079</v>
      </c>
      <c r="F157" s="20" t="n">
        <v>-30</v>
      </c>
      <c r="G157" s="20" t="n">
        <v>-641</v>
      </c>
      <c r="H157" s="20" t="n">
        <v>-18</v>
      </c>
      <c r="I157" s="20" t="n">
        <v>-173</v>
      </c>
      <c r="J157" s="20" t="n">
        <v>-441</v>
      </c>
      <c r="K157" s="20" t="n">
        <v>-425</v>
      </c>
      <c r="L157" s="21">
        <f>ABS(C157)</f>
        <v/>
      </c>
      <c r="M157" s="21">
        <f>ABS(D157)</f>
        <v/>
      </c>
      <c r="N157" s="22">
        <f>(C157-AVERAGE(C$4:C$213))/STDEVP(C$4:C$213)</f>
        <v/>
      </c>
      <c r="O157" s="23">
        <f>L157/MEDIAN(L$4:L$213)</f>
        <v/>
      </c>
      <c r="P157" s="24">
        <f>IF(N157&gt;=요약!$C$5,"대량매수",IF(N157&lt;=-요약!$C$5,"대량매도",""))</f>
        <v/>
      </c>
      <c r="Q157" s="22">
        <f>(D157-AVERAGE(D$4:D$213))/STDEVP(D$4:D$213)</f>
        <v/>
      </c>
      <c r="R157" s="23">
        <f>M157/MEDIAN(M$4:M$213)</f>
        <v/>
      </c>
      <c r="S157" s="24">
        <f>IF(Q157&gt;=요약!$C$5,"대량매수",IF(Q157&lt;=-요약!$C$5,"대량매도",""))</f>
        <v/>
      </c>
    </row>
    <row r="158">
      <c r="A158" s="19" t="n">
        <v>46065</v>
      </c>
      <c r="B158" s="20" t="n">
        <v>860</v>
      </c>
      <c r="C158" s="20" t="n">
        <v>-1066</v>
      </c>
      <c r="D158" s="20" t="n">
        <v>997</v>
      </c>
      <c r="E158" s="20" t="n">
        <v>1082</v>
      </c>
      <c r="F158" s="20" t="n">
        <v>-26</v>
      </c>
      <c r="G158" s="20" t="n">
        <v>296</v>
      </c>
      <c r="H158" s="20" t="n">
        <v>0</v>
      </c>
      <c r="I158" s="20" t="n">
        <v>-120</v>
      </c>
      <c r="J158" s="20" t="n">
        <v>-235</v>
      </c>
      <c r="K158" s="20" t="n">
        <v>-792</v>
      </c>
      <c r="L158" s="21">
        <f>ABS(C158)</f>
        <v/>
      </c>
      <c r="M158" s="21">
        <f>ABS(D158)</f>
        <v/>
      </c>
      <c r="N158" s="22">
        <f>(C158-AVERAGE(C$4:C$213))/STDEVP(C$4:C$213)</f>
        <v/>
      </c>
      <c r="O158" s="23">
        <f>L158/MEDIAN(L$4:L$213)</f>
        <v/>
      </c>
      <c r="P158" s="24">
        <f>IF(N158&gt;=요약!$C$5,"대량매수",IF(N158&lt;=-요약!$C$5,"대량매도",""))</f>
        <v/>
      </c>
      <c r="Q158" s="22">
        <f>(D158-AVERAGE(D$4:D$213))/STDEVP(D$4:D$213)</f>
        <v/>
      </c>
      <c r="R158" s="23">
        <f>M158/MEDIAN(M$4:M$213)</f>
        <v/>
      </c>
      <c r="S158" s="24">
        <f>IF(Q158&gt;=요약!$C$5,"대량매수",IF(Q158&lt;=-요약!$C$5,"대량매도",""))</f>
        <v/>
      </c>
    </row>
    <row r="159">
      <c r="A159" s="19" t="n">
        <v>46064</v>
      </c>
      <c r="B159" s="20" t="n">
        <v>-514</v>
      </c>
      <c r="C159" s="20" t="n">
        <v>191</v>
      </c>
      <c r="D159" s="20" t="n">
        <v>608</v>
      </c>
      <c r="E159" s="20" t="n">
        <v>488</v>
      </c>
      <c r="F159" s="20" t="n">
        <v>-67</v>
      </c>
      <c r="G159" s="20" t="n">
        <v>505</v>
      </c>
      <c r="H159" s="20" t="n">
        <v>-18</v>
      </c>
      <c r="I159" s="20" t="n">
        <v>-40</v>
      </c>
      <c r="J159" s="20" t="n">
        <v>-260</v>
      </c>
      <c r="K159" s="20" t="n">
        <v>-285</v>
      </c>
      <c r="L159" s="21">
        <f>ABS(C159)</f>
        <v/>
      </c>
      <c r="M159" s="21">
        <f>ABS(D159)</f>
        <v/>
      </c>
      <c r="N159" s="22">
        <f>(C159-AVERAGE(C$4:C$213))/STDEVP(C$4:C$213)</f>
        <v/>
      </c>
      <c r="O159" s="23">
        <f>L159/MEDIAN(L$4:L$213)</f>
        <v/>
      </c>
      <c r="P159" s="24">
        <f>IF(N159&gt;=요약!$C$5,"대량매수",IF(N159&lt;=-요약!$C$5,"대량매도",""))</f>
        <v/>
      </c>
      <c r="Q159" s="22">
        <f>(D159-AVERAGE(D$4:D$213))/STDEVP(D$4:D$213)</f>
        <v/>
      </c>
      <c r="R159" s="23">
        <f>M159/MEDIAN(M$4:M$213)</f>
        <v/>
      </c>
      <c r="S159" s="24">
        <f>IF(Q159&gt;=요약!$C$5,"대량매수",IF(Q159&lt;=-요약!$C$5,"대량매도",""))</f>
        <v/>
      </c>
    </row>
    <row r="160">
      <c r="A160" s="19" t="n">
        <v>46063</v>
      </c>
      <c r="B160" s="20" t="n">
        <v>3239</v>
      </c>
      <c r="C160" s="20" t="n">
        <v>-1955</v>
      </c>
      <c r="D160" s="20" t="n">
        <v>-808</v>
      </c>
      <c r="E160" s="20" t="n">
        <v>108</v>
      </c>
      <c r="F160" s="20" t="n">
        <v>-32</v>
      </c>
      <c r="G160" s="20" t="n">
        <v>-426</v>
      </c>
      <c r="H160" s="20" t="n">
        <v>-5</v>
      </c>
      <c r="I160" s="20" t="n">
        <v>-58</v>
      </c>
      <c r="J160" s="20" t="n">
        <v>-396</v>
      </c>
      <c r="K160" s="20" t="n">
        <v>-476</v>
      </c>
      <c r="L160" s="21">
        <f>ABS(C160)</f>
        <v/>
      </c>
      <c r="M160" s="21">
        <f>ABS(D160)</f>
        <v/>
      </c>
      <c r="N160" s="22">
        <f>(C160-AVERAGE(C$4:C$213))/STDEVP(C$4:C$213)</f>
        <v/>
      </c>
      <c r="O160" s="23">
        <f>L160/MEDIAN(L$4:L$213)</f>
        <v/>
      </c>
      <c r="P160" s="24">
        <f>IF(N160&gt;=요약!$C$5,"대량매수",IF(N160&lt;=-요약!$C$5,"대량매도",""))</f>
        <v/>
      </c>
      <c r="Q160" s="22">
        <f>(D160-AVERAGE(D$4:D$213))/STDEVP(D$4:D$213)</f>
        <v/>
      </c>
      <c r="R160" s="23">
        <f>M160/MEDIAN(M$4:M$213)</f>
        <v/>
      </c>
      <c r="S160" s="24">
        <f>IF(Q160&gt;=요약!$C$5,"대량매수",IF(Q160&lt;=-요약!$C$5,"대량매도",""))</f>
        <v/>
      </c>
    </row>
    <row r="161">
      <c r="A161" s="19" t="n">
        <v>46062</v>
      </c>
      <c r="B161" s="20" t="n">
        <v>-6236</v>
      </c>
      <c r="C161" s="20" t="n">
        <v>2317</v>
      </c>
      <c r="D161" s="20" t="n">
        <v>4877</v>
      </c>
      <c r="E161" s="20" t="n">
        <v>3812</v>
      </c>
      <c r="F161" s="20" t="n">
        <v>42</v>
      </c>
      <c r="G161" s="20" t="n">
        <v>1368</v>
      </c>
      <c r="H161" s="20" t="n">
        <v>-10</v>
      </c>
      <c r="I161" s="20" t="n">
        <v>-108</v>
      </c>
      <c r="J161" s="20" t="n">
        <v>-227</v>
      </c>
      <c r="K161" s="20" t="n">
        <v>-958</v>
      </c>
      <c r="L161" s="21">
        <f>ABS(C161)</f>
        <v/>
      </c>
      <c r="M161" s="21">
        <f>ABS(D161)</f>
        <v/>
      </c>
      <c r="N161" s="22">
        <f>(C161-AVERAGE(C$4:C$213))/STDEVP(C$4:C$213)</f>
        <v/>
      </c>
      <c r="O161" s="23">
        <f>L161/MEDIAN(L$4:L$213)</f>
        <v/>
      </c>
      <c r="P161" s="24">
        <f>IF(N161&gt;=요약!$C$5,"대량매수",IF(N161&lt;=-요약!$C$5,"대량매도",""))</f>
        <v/>
      </c>
      <c r="Q161" s="22">
        <f>(D161-AVERAGE(D$4:D$213))/STDEVP(D$4:D$213)</f>
        <v/>
      </c>
      <c r="R161" s="23">
        <f>M161/MEDIAN(M$4:M$213)</f>
        <v/>
      </c>
      <c r="S161" s="24">
        <f>IF(Q161&gt;=요약!$C$5,"대량매수",IF(Q161&lt;=-요약!$C$5,"대량매도",""))</f>
        <v/>
      </c>
    </row>
    <row r="162">
      <c r="A162" s="19" t="n">
        <v>46059</v>
      </c>
      <c r="B162" s="20" t="n">
        <v>1484</v>
      </c>
      <c r="C162" s="20" t="n">
        <v>728</v>
      </c>
      <c r="D162" s="20" t="n">
        <v>-1643</v>
      </c>
      <c r="E162" s="20" t="n">
        <v>60</v>
      </c>
      <c r="F162" s="20" t="n">
        <v>-111</v>
      </c>
      <c r="G162" s="20" t="n">
        <v>-1363</v>
      </c>
      <c r="H162" s="20" t="n">
        <v>-6</v>
      </c>
      <c r="I162" s="20" t="n">
        <v>-22</v>
      </c>
      <c r="J162" s="20" t="n">
        <v>-199</v>
      </c>
      <c r="K162" s="20" t="n">
        <v>-570</v>
      </c>
      <c r="L162" s="21">
        <f>ABS(C162)</f>
        <v/>
      </c>
      <c r="M162" s="21">
        <f>ABS(D162)</f>
        <v/>
      </c>
      <c r="N162" s="22">
        <f>(C162-AVERAGE(C$4:C$213))/STDEVP(C$4:C$213)</f>
        <v/>
      </c>
      <c r="O162" s="23">
        <f>L162/MEDIAN(L$4:L$213)</f>
        <v/>
      </c>
      <c r="P162" s="24">
        <f>IF(N162&gt;=요약!$C$5,"대량매수",IF(N162&lt;=-요약!$C$5,"대량매도",""))</f>
        <v/>
      </c>
      <c r="Q162" s="22">
        <f>(D162-AVERAGE(D$4:D$213))/STDEVP(D$4:D$213)</f>
        <v/>
      </c>
      <c r="R162" s="23">
        <f>M162/MEDIAN(M$4:M$213)</f>
        <v/>
      </c>
      <c r="S162" s="24">
        <f>IF(Q162&gt;=요약!$C$5,"대량매수",IF(Q162&lt;=-요약!$C$5,"대량매도",""))</f>
        <v/>
      </c>
    </row>
    <row r="163">
      <c r="A163" s="19" t="n">
        <v>46058</v>
      </c>
      <c r="B163" s="20" t="n">
        <v>9063</v>
      </c>
      <c r="C163" s="20" t="n">
        <v>-2756</v>
      </c>
      <c r="D163" s="20" t="n">
        <v>-5385</v>
      </c>
      <c r="E163" s="20" t="n">
        <v>-1523</v>
      </c>
      <c r="F163" s="20" t="n">
        <v>-128</v>
      </c>
      <c r="G163" s="20" t="n">
        <v>-2396</v>
      </c>
      <c r="H163" s="20" t="n">
        <v>-1</v>
      </c>
      <c r="I163" s="20" t="n">
        <v>-293</v>
      </c>
      <c r="J163" s="20" t="n">
        <v>-1044</v>
      </c>
      <c r="K163" s="20" t="n">
        <v>-921</v>
      </c>
      <c r="L163" s="21">
        <f>ABS(C163)</f>
        <v/>
      </c>
      <c r="M163" s="21">
        <f>ABS(D163)</f>
        <v/>
      </c>
      <c r="N163" s="22">
        <f>(C163-AVERAGE(C$4:C$213))/STDEVP(C$4:C$213)</f>
        <v/>
      </c>
      <c r="O163" s="23">
        <f>L163/MEDIAN(L$4:L$213)</f>
        <v/>
      </c>
      <c r="P163" s="24">
        <f>IF(N163&gt;=요약!$C$5,"대량매수",IF(N163&lt;=-요약!$C$5,"대량매도",""))</f>
        <v/>
      </c>
      <c r="Q163" s="22">
        <f>(D163-AVERAGE(D$4:D$213))/STDEVP(D$4:D$213)</f>
        <v/>
      </c>
      <c r="R163" s="23">
        <f>M163/MEDIAN(M$4:M$213)</f>
        <v/>
      </c>
      <c r="S163" s="24">
        <f>IF(Q163&gt;=요약!$C$5,"대량매수",IF(Q163&lt;=-요약!$C$5,"대량매도",""))</f>
        <v/>
      </c>
    </row>
    <row r="164">
      <c r="A164" s="19" t="n">
        <v>46057</v>
      </c>
      <c r="B164" s="20" t="n">
        <v>2399</v>
      </c>
      <c r="C164" s="20" t="n">
        <v>49</v>
      </c>
      <c r="D164" s="20" t="n">
        <v>-1515</v>
      </c>
      <c r="E164" s="20" t="n">
        <v>864</v>
      </c>
      <c r="F164" s="20" t="n">
        <v>-232</v>
      </c>
      <c r="G164" s="20" t="n">
        <v>-1343</v>
      </c>
      <c r="H164" s="20" t="n">
        <v>22</v>
      </c>
      <c r="I164" s="20" t="n">
        <v>-150</v>
      </c>
      <c r="J164" s="20" t="n">
        <v>-677</v>
      </c>
      <c r="K164" s="20" t="n">
        <v>-933</v>
      </c>
      <c r="L164" s="21">
        <f>ABS(C164)</f>
        <v/>
      </c>
      <c r="M164" s="21">
        <f>ABS(D164)</f>
        <v/>
      </c>
      <c r="N164" s="22">
        <f>(C164-AVERAGE(C$4:C$213))/STDEVP(C$4:C$213)</f>
        <v/>
      </c>
      <c r="O164" s="23">
        <f>L164/MEDIAN(L$4:L$213)</f>
        <v/>
      </c>
      <c r="P164" s="24">
        <f>IF(N164&gt;=요약!$C$5,"대량매수",IF(N164&lt;=-요약!$C$5,"대량매도",""))</f>
        <v/>
      </c>
      <c r="Q164" s="22">
        <f>(D164-AVERAGE(D$4:D$213))/STDEVP(D$4:D$213)</f>
        <v/>
      </c>
      <c r="R164" s="23">
        <f>M164/MEDIAN(M$4:M$213)</f>
        <v/>
      </c>
      <c r="S164" s="24">
        <f>IF(Q164&gt;=요약!$C$5,"대량매수",IF(Q164&lt;=-요약!$C$5,"대량매도",""))</f>
        <v/>
      </c>
    </row>
    <row r="165">
      <c r="A165" s="19" t="n">
        <v>46056</v>
      </c>
      <c r="B165" s="20" t="n">
        <v>-7085</v>
      </c>
      <c r="C165" s="20" t="n">
        <v>-896</v>
      </c>
      <c r="D165" s="20" t="n">
        <v>8633</v>
      </c>
      <c r="E165" s="20" t="n">
        <v>7994</v>
      </c>
      <c r="F165" s="20" t="n">
        <v>-94</v>
      </c>
      <c r="G165" s="20" t="n">
        <v>735</v>
      </c>
      <c r="H165" s="20" t="n">
        <v>13</v>
      </c>
      <c r="I165" s="20" t="n">
        <v>7</v>
      </c>
      <c r="J165" s="20" t="n">
        <v>-22</v>
      </c>
      <c r="K165" s="20" t="n">
        <v>-652</v>
      </c>
      <c r="L165" s="21">
        <f>ABS(C165)</f>
        <v/>
      </c>
      <c r="M165" s="21">
        <f>ABS(D165)</f>
        <v/>
      </c>
      <c r="N165" s="22">
        <f>(C165-AVERAGE(C$4:C$213))/STDEVP(C$4:C$213)</f>
        <v/>
      </c>
      <c r="O165" s="23">
        <f>L165/MEDIAN(L$4:L$213)</f>
        <v/>
      </c>
      <c r="P165" s="24">
        <f>IF(N165&gt;=요약!$C$5,"대량매수",IF(N165&lt;=-요약!$C$5,"대량매도",""))</f>
        <v/>
      </c>
      <c r="Q165" s="22">
        <f>(D165-AVERAGE(D$4:D$213))/STDEVP(D$4:D$213)</f>
        <v/>
      </c>
      <c r="R165" s="23">
        <f>M165/MEDIAN(M$4:M$213)</f>
        <v/>
      </c>
      <c r="S165" s="24">
        <f>IF(Q165&gt;=요약!$C$5,"대량매수",IF(Q165&lt;=-요약!$C$5,"대량매도",""))</f>
        <v/>
      </c>
    </row>
    <row r="166">
      <c r="A166" s="19" t="n">
        <v>46055</v>
      </c>
      <c r="B166" s="20" t="n">
        <v>2127</v>
      </c>
      <c r="C166" s="20" t="n">
        <v>4108</v>
      </c>
      <c r="D166" s="20" t="n">
        <v>-5484</v>
      </c>
      <c r="E166" s="20" t="n">
        <v>-3823</v>
      </c>
      <c r="F166" s="20" t="n">
        <v>-165</v>
      </c>
      <c r="G166" s="20" t="n">
        <v>-1327</v>
      </c>
      <c r="H166" s="20" t="n">
        <v>-3</v>
      </c>
      <c r="I166" s="20" t="n">
        <v>-24</v>
      </c>
      <c r="J166" s="20" t="n">
        <v>-143</v>
      </c>
      <c r="K166" s="20" t="n">
        <v>-750</v>
      </c>
      <c r="L166" s="21">
        <f>ABS(C166)</f>
        <v/>
      </c>
      <c r="M166" s="21">
        <f>ABS(D166)</f>
        <v/>
      </c>
      <c r="N166" s="22">
        <f>(C166-AVERAGE(C$4:C$213))/STDEVP(C$4:C$213)</f>
        <v/>
      </c>
      <c r="O166" s="23">
        <f>L166/MEDIAN(L$4:L$213)</f>
        <v/>
      </c>
      <c r="P166" s="24">
        <f>IF(N166&gt;=요약!$C$5,"대량매수",IF(N166&lt;=-요약!$C$5,"대량매도",""))</f>
        <v/>
      </c>
      <c r="Q166" s="22">
        <f>(D166-AVERAGE(D$4:D$213))/STDEVP(D$4:D$213)</f>
        <v/>
      </c>
      <c r="R166" s="23">
        <f>M166/MEDIAN(M$4:M$213)</f>
        <v/>
      </c>
      <c r="S166" s="24">
        <f>IF(Q166&gt;=요약!$C$5,"대량매수",IF(Q166&lt;=-요약!$C$5,"대량매도",""))</f>
        <v/>
      </c>
    </row>
    <row r="167">
      <c r="A167" s="19" t="n">
        <v>46052</v>
      </c>
      <c r="B167" s="20" t="n">
        <v>-9830</v>
      </c>
      <c r="C167" s="20" t="n">
        <v>-1658</v>
      </c>
      <c r="D167" s="20" t="n">
        <v>13351</v>
      </c>
      <c r="E167" s="20" t="n">
        <v>14908</v>
      </c>
      <c r="F167" s="20" t="n">
        <v>-122</v>
      </c>
      <c r="G167" s="20" t="n">
        <v>-1614</v>
      </c>
      <c r="H167" s="20" t="n">
        <v>-25</v>
      </c>
      <c r="I167" s="20" t="n">
        <v>-103</v>
      </c>
      <c r="J167" s="20" t="n">
        <v>307</v>
      </c>
      <c r="K167" s="20" t="n">
        <v>-1862</v>
      </c>
      <c r="L167" s="21">
        <f>ABS(C167)</f>
        <v/>
      </c>
      <c r="M167" s="21">
        <f>ABS(D167)</f>
        <v/>
      </c>
      <c r="N167" s="22">
        <f>(C167-AVERAGE(C$4:C$213))/STDEVP(C$4:C$213)</f>
        <v/>
      </c>
      <c r="O167" s="23">
        <f>L167/MEDIAN(L$4:L$213)</f>
        <v/>
      </c>
      <c r="P167" s="24">
        <f>IF(N167&gt;=요약!$C$5,"대량매수",IF(N167&lt;=-요약!$C$5,"대량매도",""))</f>
        <v/>
      </c>
      <c r="Q167" s="22">
        <f>(D167-AVERAGE(D$4:D$213))/STDEVP(D$4:D$213)</f>
        <v/>
      </c>
      <c r="R167" s="23">
        <f>M167/MEDIAN(M$4:M$213)</f>
        <v/>
      </c>
      <c r="S167" s="24">
        <f>IF(Q167&gt;=요약!$C$5,"대량매수",IF(Q167&lt;=-요약!$C$5,"대량매도",""))</f>
        <v/>
      </c>
    </row>
    <row r="168">
      <c r="A168" s="19" t="n">
        <v>46051</v>
      </c>
      <c r="B168" s="20" t="n">
        <v>-21297</v>
      </c>
      <c r="C168" s="20" t="n">
        <v>2163</v>
      </c>
      <c r="D168" s="20" t="n">
        <v>20427</v>
      </c>
      <c r="E168" s="20" t="n">
        <v>20993</v>
      </c>
      <c r="F168" s="20" t="n">
        <v>-104</v>
      </c>
      <c r="G168" s="20" t="n">
        <v>-412</v>
      </c>
      <c r="H168" s="20" t="n">
        <v>8</v>
      </c>
      <c r="I168" s="20" t="n">
        <v>-144</v>
      </c>
      <c r="J168" s="20" t="n">
        <v>87</v>
      </c>
      <c r="K168" s="20" t="n">
        <v>-1294</v>
      </c>
      <c r="L168" s="21">
        <f>ABS(C168)</f>
        <v/>
      </c>
      <c r="M168" s="21">
        <f>ABS(D168)</f>
        <v/>
      </c>
      <c r="N168" s="22">
        <f>(C168-AVERAGE(C$4:C$213))/STDEVP(C$4:C$213)</f>
        <v/>
      </c>
      <c r="O168" s="23">
        <f>L168/MEDIAN(L$4:L$213)</f>
        <v/>
      </c>
      <c r="P168" s="24">
        <f>IF(N168&gt;=요약!$C$5,"대량매수",IF(N168&lt;=-요약!$C$5,"대량매도",""))</f>
        <v/>
      </c>
      <c r="Q168" s="22">
        <f>(D168-AVERAGE(D$4:D$213))/STDEVP(D$4:D$213)</f>
        <v/>
      </c>
      <c r="R168" s="23">
        <f>M168/MEDIAN(M$4:M$213)</f>
        <v/>
      </c>
      <c r="S168" s="24">
        <f>IF(Q168&gt;=요약!$C$5,"대량매수",IF(Q168&lt;=-요약!$C$5,"대량매도",""))</f>
        <v/>
      </c>
    </row>
    <row r="169">
      <c r="A169" s="19" t="n">
        <v>46050</v>
      </c>
      <c r="B169" s="20" t="n">
        <v>-26462</v>
      </c>
      <c r="C169" s="20" t="n">
        <v>4866</v>
      </c>
      <c r="D169" s="20" t="n">
        <v>23022</v>
      </c>
      <c r="E169" s="20" t="n">
        <v>20610</v>
      </c>
      <c r="F169" s="20" t="n">
        <v>54</v>
      </c>
      <c r="G169" s="20" t="n">
        <v>1499</v>
      </c>
      <c r="H169" s="20" t="n">
        <v>-2</v>
      </c>
      <c r="I169" s="20" t="n">
        <v>-64</v>
      </c>
      <c r="J169" s="20" t="n">
        <v>924</v>
      </c>
      <c r="K169" s="20" t="n">
        <v>-1426</v>
      </c>
      <c r="L169" s="21">
        <f>ABS(C169)</f>
        <v/>
      </c>
      <c r="M169" s="21">
        <f>ABS(D169)</f>
        <v/>
      </c>
      <c r="N169" s="22">
        <f>(C169-AVERAGE(C$4:C$213))/STDEVP(C$4:C$213)</f>
        <v/>
      </c>
      <c r="O169" s="23">
        <f>L169/MEDIAN(L$4:L$213)</f>
        <v/>
      </c>
      <c r="P169" s="24">
        <f>IF(N169&gt;=요약!$C$5,"대량매수",IF(N169&lt;=-요약!$C$5,"대량매도",""))</f>
        <v/>
      </c>
      <c r="Q169" s="22">
        <f>(D169-AVERAGE(D$4:D$213))/STDEVP(D$4:D$213)</f>
        <v/>
      </c>
      <c r="R169" s="23">
        <f>M169/MEDIAN(M$4:M$213)</f>
        <v/>
      </c>
      <c r="S169" s="24">
        <f>IF(Q169&gt;=요약!$C$5,"대량매수",IF(Q169&lt;=-요약!$C$5,"대량매도",""))</f>
        <v/>
      </c>
    </row>
    <row r="170">
      <c r="A170" s="19" t="n">
        <v>46049</v>
      </c>
      <c r="B170" s="20" t="n">
        <v>-14540</v>
      </c>
      <c r="C170" s="20" t="n">
        <v>-1133</v>
      </c>
      <c r="D170" s="20" t="n">
        <v>16528</v>
      </c>
      <c r="E170" s="20" t="n">
        <v>15050</v>
      </c>
      <c r="F170" s="20" t="n">
        <v>8</v>
      </c>
      <c r="G170" s="20" t="n">
        <v>913</v>
      </c>
      <c r="H170" s="20" t="n">
        <v>6</v>
      </c>
      <c r="I170" s="20" t="n">
        <v>-82</v>
      </c>
      <c r="J170" s="20" t="n">
        <v>633</v>
      </c>
      <c r="K170" s="20" t="n">
        <v>-855</v>
      </c>
      <c r="L170" s="21">
        <f>ABS(C170)</f>
        <v/>
      </c>
      <c r="M170" s="21">
        <f>ABS(D170)</f>
        <v/>
      </c>
      <c r="N170" s="22">
        <f>(C170-AVERAGE(C$4:C$213))/STDEVP(C$4:C$213)</f>
        <v/>
      </c>
      <c r="O170" s="23">
        <f>L170/MEDIAN(L$4:L$213)</f>
        <v/>
      </c>
      <c r="P170" s="24">
        <f>IF(N170&gt;=요약!$C$5,"대량매수",IF(N170&lt;=-요약!$C$5,"대량매도",""))</f>
        <v/>
      </c>
      <c r="Q170" s="22">
        <f>(D170-AVERAGE(D$4:D$213))/STDEVP(D$4:D$213)</f>
        <v/>
      </c>
      <c r="R170" s="23">
        <f>M170/MEDIAN(M$4:M$213)</f>
        <v/>
      </c>
      <c r="S170" s="24">
        <f>IF(Q170&gt;=요약!$C$5,"대량매수",IF(Q170&lt;=-요약!$C$5,"대량매도",""))</f>
        <v/>
      </c>
    </row>
    <row r="171">
      <c r="A171" s="19" t="n">
        <v>46048</v>
      </c>
      <c r="B171" s="20" t="n">
        <v>-29138</v>
      </c>
      <c r="C171" s="20" t="n">
        <v>4497</v>
      </c>
      <c r="D171" s="20" t="n">
        <v>26217</v>
      </c>
      <c r="E171" s="20" t="n">
        <v>21065</v>
      </c>
      <c r="F171" s="20" t="n">
        <v>288</v>
      </c>
      <c r="G171" s="20" t="n">
        <v>3635</v>
      </c>
      <c r="H171" s="20" t="n">
        <v>1</v>
      </c>
      <c r="I171" s="20" t="n">
        <v>-279</v>
      </c>
      <c r="J171" s="20" t="n">
        <v>1507</v>
      </c>
      <c r="K171" s="20" t="n">
        <v>-1576</v>
      </c>
      <c r="L171" s="21">
        <f>ABS(C171)</f>
        <v/>
      </c>
      <c r="M171" s="21">
        <f>ABS(D171)</f>
        <v/>
      </c>
      <c r="N171" s="22">
        <f>(C171-AVERAGE(C$4:C$213))/STDEVP(C$4:C$213)</f>
        <v/>
      </c>
      <c r="O171" s="23">
        <f>L171/MEDIAN(L$4:L$213)</f>
        <v/>
      </c>
      <c r="P171" s="24">
        <f>IF(N171&gt;=요약!$C$5,"대량매수",IF(N171&lt;=-요약!$C$5,"대량매도",""))</f>
        <v/>
      </c>
      <c r="Q171" s="22">
        <f>(D171-AVERAGE(D$4:D$213))/STDEVP(D$4:D$213)</f>
        <v/>
      </c>
      <c r="R171" s="23">
        <f>M171/MEDIAN(M$4:M$213)</f>
        <v/>
      </c>
      <c r="S171" s="24">
        <f>IF(Q171&gt;=요약!$C$5,"대량매수",IF(Q171&lt;=-요약!$C$5,"대량매도",""))</f>
        <v/>
      </c>
    </row>
    <row r="172">
      <c r="A172" s="19" t="n">
        <v>46045</v>
      </c>
      <c r="B172" s="20" t="n">
        <v>-10360</v>
      </c>
      <c r="C172" s="20" t="n">
        <v>1052</v>
      </c>
      <c r="D172" s="20" t="n">
        <v>9735</v>
      </c>
      <c r="E172" s="20" t="n">
        <v>8014</v>
      </c>
      <c r="F172" s="20" t="n">
        <v>33</v>
      </c>
      <c r="G172" s="20" t="n">
        <v>1420</v>
      </c>
      <c r="H172" s="20" t="n">
        <v>8</v>
      </c>
      <c r="I172" s="20" t="n">
        <v>-132</v>
      </c>
      <c r="J172" s="20" t="n">
        <v>392</v>
      </c>
      <c r="K172" s="20" t="n">
        <v>-428</v>
      </c>
      <c r="L172" s="21">
        <f>ABS(C172)</f>
        <v/>
      </c>
      <c r="M172" s="21">
        <f>ABS(D172)</f>
        <v/>
      </c>
      <c r="N172" s="22">
        <f>(C172-AVERAGE(C$4:C$213))/STDEVP(C$4:C$213)</f>
        <v/>
      </c>
      <c r="O172" s="23">
        <f>L172/MEDIAN(L$4:L$213)</f>
        <v/>
      </c>
      <c r="P172" s="24">
        <f>IF(N172&gt;=요약!$C$5,"대량매수",IF(N172&lt;=-요약!$C$5,"대량매도",""))</f>
        <v/>
      </c>
      <c r="Q172" s="22">
        <f>(D172-AVERAGE(D$4:D$213))/STDEVP(D$4:D$213)</f>
        <v/>
      </c>
      <c r="R172" s="23">
        <f>M172/MEDIAN(M$4:M$213)</f>
        <v/>
      </c>
      <c r="S172" s="24">
        <f>IF(Q172&gt;=요약!$C$5,"대량매수",IF(Q172&lt;=-요약!$C$5,"대량매도",""))</f>
        <v/>
      </c>
    </row>
    <row r="173">
      <c r="A173" s="19" t="n">
        <v>46044</v>
      </c>
      <c r="B173" s="20" t="n">
        <v>899</v>
      </c>
      <c r="C173" s="20" t="n">
        <v>833</v>
      </c>
      <c r="D173" s="20" t="n">
        <v>-1377</v>
      </c>
      <c r="E173" s="20" t="n">
        <v>-843</v>
      </c>
      <c r="F173" s="20" t="n">
        <v>-94</v>
      </c>
      <c r="G173" s="20" t="n">
        <v>-156</v>
      </c>
      <c r="H173" s="20" t="n">
        <v>-19</v>
      </c>
      <c r="I173" s="20" t="n">
        <v>-104</v>
      </c>
      <c r="J173" s="20" t="n">
        <v>-161</v>
      </c>
      <c r="K173" s="20" t="n">
        <v>-355</v>
      </c>
      <c r="L173" s="21">
        <f>ABS(C173)</f>
        <v/>
      </c>
      <c r="M173" s="21">
        <f>ABS(D173)</f>
        <v/>
      </c>
      <c r="N173" s="22">
        <f>(C173-AVERAGE(C$4:C$213))/STDEVP(C$4:C$213)</f>
        <v/>
      </c>
      <c r="O173" s="23">
        <f>L173/MEDIAN(L$4:L$213)</f>
        <v/>
      </c>
      <c r="P173" s="24">
        <f>IF(N173&gt;=요약!$C$5,"대량매수",IF(N173&lt;=-요약!$C$5,"대량매도",""))</f>
        <v/>
      </c>
      <c r="Q173" s="22">
        <f>(D173-AVERAGE(D$4:D$213))/STDEVP(D$4:D$213)</f>
        <v/>
      </c>
      <c r="R173" s="23">
        <f>M173/MEDIAN(M$4:M$213)</f>
        <v/>
      </c>
      <c r="S173" s="24">
        <f>IF(Q173&gt;=요약!$C$5,"대량매수",IF(Q173&lt;=-요약!$C$5,"대량매도",""))</f>
        <v/>
      </c>
    </row>
    <row r="174">
      <c r="A174" s="19" t="n">
        <v>46043</v>
      </c>
      <c r="B174" s="20" t="n">
        <v>9553</v>
      </c>
      <c r="C174" s="20" t="n">
        <v>-2612</v>
      </c>
      <c r="D174" s="20" t="n">
        <v>-6611</v>
      </c>
      <c r="E174" s="20" t="n">
        <v>69</v>
      </c>
      <c r="F174" s="20" t="n">
        <v>-303</v>
      </c>
      <c r="G174" s="20" t="n">
        <v>-4225</v>
      </c>
      <c r="H174" s="20" t="n">
        <v>-23</v>
      </c>
      <c r="I174" s="20" t="n">
        <v>-70</v>
      </c>
      <c r="J174" s="20" t="n">
        <v>-2059</v>
      </c>
      <c r="K174" s="20" t="n">
        <v>-330</v>
      </c>
      <c r="L174" s="21">
        <f>ABS(C174)</f>
        <v/>
      </c>
      <c r="M174" s="21">
        <f>ABS(D174)</f>
        <v/>
      </c>
      <c r="N174" s="22">
        <f>(C174-AVERAGE(C$4:C$213))/STDEVP(C$4:C$213)</f>
        <v/>
      </c>
      <c r="O174" s="23">
        <f>L174/MEDIAN(L$4:L$213)</f>
        <v/>
      </c>
      <c r="P174" s="24">
        <f>IF(N174&gt;=요약!$C$5,"대량매수",IF(N174&lt;=-요약!$C$5,"대량매도",""))</f>
        <v/>
      </c>
      <c r="Q174" s="22">
        <f>(D174-AVERAGE(D$4:D$213))/STDEVP(D$4:D$213)</f>
        <v/>
      </c>
      <c r="R174" s="23">
        <f>M174/MEDIAN(M$4:M$213)</f>
        <v/>
      </c>
      <c r="S174" s="24">
        <f>IF(Q174&gt;=요약!$C$5,"대량매수",IF(Q174&lt;=-요약!$C$5,"대량매도",""))</f>
        <v/>
      </c>
    </row>
    <row r="175">
      <c r="A175" s="19" t="n">
        <v>46042</v>
      </c>
      <c r="B175" s="20" t="n">
        <v>-3080</v>
      </c>
      <c r="C175" s="20" t="n">
        <v>240</v>
      </c>
      <c r="D175" s="20" t="n">
        <v>2759</v>
      </c>
      <c r="E175" s="20" t="n">
        <v>2397</v>
      </c>
      <c r="F175" s="20" t="n">
        <v>-23</v>
      </c>
      <c r="G175" s="20" t="n">
        <v>443</v>
      </c>
      <c r="H175" s="20" t="n">
        <v>-17</v>
      </c>
      <c r="I175" s="20" t="n">
        <v>-83</v>
      </c>
      <c r="J175" s="20" t="n">
        <v>42</v>
      </c>
      <c r="K175" s="20" t="n">
        <v>80</v>
      </c>
      <c r="L175" s="21">
        <f>ABS(C175)</f>
        <v/>
      </c>
      <c r="M175" s="21">
        <f>ABS(D175)</f>
        <v/>
      </c>
      <c r="N175" s="22">
        <f>(C175-AVERAGE(C$4:C$213))/STDEVP(C$4:C$213)</f>
        <v/>
      </c>
      <c r="O175" s="23">
        <f>L175/MEDIAN(L$4:L$213)</f>
        <v/>
      </c>
      <c r="P175" s="24">
        <f>IF(N175&gt;=요약!$C$5,"대량매수",IF(N175&lt;=-요약!$C$5,"대량매도",""))</f>
        <v/>
      </c>
      <c r="Q175" s="22">
        <f>(D175-AVERAGE(D$4:D$213))/STDEVP(D$4:D$213)</f>
        <v/>
      </c>
      <c r="R175" s="23">
        <f>M175/MEDIAN(M$4:M$213)</f>
        <v/>
      </c>
      <c r="S175" s="24">
        <f>IF(Q175&gt;=요약!$C$5,"대량매수",IF(Q175&lt;=-요약!$C$5,"대량매도",""))</f>
        <v/>
      </c>
    </row>
    <row r="176">
      <c r="A176" s="19" t="n">
        <v>46041</v>
      </c>
      <c r="B176" s="20" t="n">
        <v>-1396</v>
      </c>
      <c r="C176" s="20" t="n">
        <v>2264</v>
      </c>
      <c r="D176" s="20" t="n">
        <v>-386</v>
      </c>
      <c r="E176" s="20" t="n">
        <v>-285</v>
      </c>
      <c r="F176" s="20" t="n">
        <v>-60</v>
      </c>
      <c r="G176" s="20" t="n">
        <v>86</v>
      </c>
      <c r="H176" s="20" t="n">
        <v>0</v>
      </c>
      <c r="I176" s="20" t="n">
        <v>-205</v>
      </c>
      <c r="J176" s="20" t="n">
        <v>78</v>
      </c>
      <c r="K176" s="20" t="n">
        <v>-483</v>
      </c>
      <c r="L176" s="21">
        <f>ABS(C176)</f>
        <v/>
      </c>
      <c r="M176" s="21">
        <f>ABS(D176)</f>
        <v/>
      </c>
      <c r="N176" s="22">
        <f>(C176-AVERAGE(C$4:C$213))/STDEVP(C$4:C$213)</f>
        <v/>
      </c>
      <c r="O176" s="23">
        <f>L176/MEDIAN(L$4:L$213)</f>
        <v/>
      </c>
      <c r="P176" s="24">
        <f>IF(N176&gt;=요약!$C$5,"대량매수",IF(N176&lt;=-요약!$C$5,"대량매도",""))</f>
        <v/>
      </c>
      <c r="Q176" s="22">
        <f>(D176-AVERAGE(D$4:D$213))/STDEVP(D$4:D$213)</f>
        <v/>
      </c>
      <c r="R176" s="23">
        <f>M176/MEDIAN(M$4:M$213)</f>
        <v/>
      </c>
      <c r="S176" s="24">
        <f>IF(Q176&gt;=요약!$C$5,"대량매수",IF(Q176&lt;=-요약!$C$5,"대량매도",""))</f>
        <v/>
      </c>
    </row>
    <row r="177">
      <c r="A177" s="19" t="n">
        <v>46038</v>
      </c>
      <c r="B177" s="20" t="n">
        <v>567</v>
      </c>
      <c r="C177" s="20" t="n">
        <v>-840</v>
      </c>
      <c r="D177" s="20" t="n">
        <v>397</v>
      </c>
      <c r="E177" s="20" t="n">
        <v>695</v>
      </c>
      <c r="F177" s="20" t="n">
        <v>-51</v>
      </c>
      <c r="G177" s="20" t="n">
        <v>-473</v>
      </c>
      <c r="H177" s="20" t="n">
        <v>-1</v>
      </c>
      <c r="I177" s="20" t="n">
        <v>-50</v>
      </c>
      <c r="J177" s="20" t="n">
        <v>276</v>
      </c>
      <c r="K177" s="20" t="n">
        <v>-125</v>
      </c>
      <c r="L177" s="21">
        <f>ABS(C177)</f>
        <v/>
      </c>
      <c r="M177" s="21">
        <f>ABS(D177)</f>
        <v/>
      </c>
      <c r="N177" s="22">
        <f>(C177-AVERAGE(C$4:C$213))/STDEVP(C$4:C$213)</f>
        <v/>
      </c>
      <c r="O177" s="23">
        <f>L177/MEDIAN(L$4:L$213)</f>
        <v/>
      </c>
      <c r="P177" s="24">
        <f>IF(N177&gt;=요약!$C$5,"대량매수",IF(N177&lt;=-요약!$C$5,"대량매도",""))</f>
        <v/>
      </c>
      <c r="Q177" s="22">
        <f>(D177-AVERAGE(D$4:D$213))/STDEVP(D$4:D$213)</f>
        <v/>
      </c>
      <c r="R177" s="23">
        <f>M177/MEDIAN(M$4:M$213)</f>
        <v/>
      </c>
      <c r="S177" s="24">
        <f>IF(Q177&gt;=요약!$C$5,"대량매수",IF(Q177&lt;=-요약!$C$5,"대량매도",""))</f>
        <v/>
      </c>
    </row>
    <row r="178">
      <c r="A178" s="19" t="n">
        <v>46037</v>
      </c>
      <c r="B178" s="20" t="n">
        <v>-2562</v>
      </c>
      <c r="C178" s="20" t="n">
        <v>3148</v>
      </c>
      <c r="D178" s="20" t="n">
        <v>-288</v>
      </c>
      <c r="E178" s="20" t="n">
        <v>1040</v>
      </c>
      <c r="F178" s="20" t="n">
        <v>-80</v>
      </c>
      <c r="G178" s="20" t="n">
        <v>-596</v>
      </c>
      <c r="H178" s="20" t="n">
        <v>-6</v>
      </c>
      <c r="I178" s="20" t="n">
        <v>-344</v>
      </c>
      <c r="J178" s="20" t="n">
        <v>-301</v>
      </c>
      <c r="K178" s="20" t="n">
        <v>-299</v>
      </c>
      <c r="L178" s="21">
        <f>ABS(C178)</f>
        <v/>
      </c>
      <c r="M178" s="21">
        <f>ABS(D178)</f>
        <v/>
      </c>
      <c r="N178" s="22">
        <f>(C178-AVERAGE(C$4:C$213))/STDEVP(C$4:C$213)</f>
        <v/>
      </c>
      <c r="O178" s="23">
        <f>L178/MEDIAN(L$4:L$213)</f>
        <v/>
      </c>
      <c r="P178" s="24">
        <f>IF(N178&gt;=요약!$C$5,"대량매수",IF(N178&lt;=-요약!$C$5,"대량매도",""))</f>
        <v/>
      </c>
      <c r="Q178" s="22">
        <f>(D178-AVERAGE(D$4:D$213))/STDEVP(D$4:D$213)</f>
        <v/>
      </c>
      <c r="R178" s="23">
        <f>M178/MEDIAN(M$4:M$213)</f>
        <v/>
      </c>
      <c r="S178" s="24">
        <f>IF(Q178&gt;=요약!$C$5,"대량매수",IF(Q178&lt;=-요약!$C$5,"대량매도",""))</f>
        <v/>
      </c>
    </row>
    <row r="179">
      <c r="A179" s="19" t="n">
        <v>46036</v>
      </c>
      <c r="B179" s="20" t="n">
        <v>4194</v>
      </c>
      <c r="C179" s="20" t="n">
        <v>-2632</v>
      </c>
      <c r="D179" s="20" t="n">
        <v>-1568</v>
      </c>
      <c r="E179" s="20" t="n">
        <v>202</v>
      </c>
      <c r="F179" s="20" t="n">
        <v>-49</v>
      </c>
      <c r="G179" s="20" t="n">
        <v>-1316</v>
      </c>
      <c r="H179" s="20" t="n">
        <v>-3</v>
      </c>
      <c r="I179" s="20" t="n">
        <v>-283</v>
      </c>
      <c r="J179" s="20" t="n">
        <v>-119</v>
      </c>
      <c r="K179" s="20" t="n">
        <v>6</v>
      </c>
      <c r="L179" s="21">
        <f>ABS(C179)</f>
        <v/>
      </c>
      <c r="M179" s="21">
        <f>ABS(D179)</f>
        <v/>
      </c>
      <c r="N179" s="22">
        <f>(C179-AVERAGE(C$4:C$213))/STDEVP(C$4:C$213)</f>
        <v/>
      </c>
      <c r="O179" s="23">
        <f>L179/MEDIAN(L$4:L$213)</f>
        <v/>
      </c>
      <c r="P179" s="24">
        <f>IF(N179&gt;=요약!$C$5,"대량매수",IF(N179&lt;=-요약!$C$5,"대량매도",""))</f>
        <v/>
      </c>
      <c r="Q179" s="22">
        <f>(D179-AVERAGE(D$4:D$213))/STDEVP(D$4:D$213)</f>
        <v/>
      </c>
      <c r="R179" s="23">
        <f>M179/MEDIAN(M$4:M$213)</f>
        <v/>
      </c>
      <c r="S179" s="24">
        <f>IF(Q179&gt;=요약!$C$5,"대량매수",IF(Q179&lt;=-요약!$C$5,"대량매도",""))</f>
        <v/>
      </c>
    </row>
    <row r="180">
      <c r="A180" s="19" t="n">
        <v>46035</v>
      </c>
      <c r="B180" s="20" t="n">
        <v>3370</v>
      </c>
      <c r="C180" s="20" t="n">
        <v>-1811</v>
      </c>
      <c r="D180" s="20" t="n">
        <v>-1457</v>
      </c>
      <c r="E180" s="20" t="n">
        <v>-20</v>
      </c>
      <c r="F180" s="20" t="n">
        <v>-118</v>
      </c>
      <c r="G180" s="20" t="n">
        <v>-1163</v>
      </c>
      <c r="H180" s="20" t="n">
        <v>-3</v>
      </c>
      <c r="I180" s="20" t="n">
        <v>-69</v>
      </c>
      <c r="J180" s="20" t="n">
        <v>-83</v>
      </c>
      <c r="K180" s="20" t="n">
        <v>-103</v>
      </c>
      <c r="L180" s="21">
        <f>ABS(C180)</f>
        <v/>
      </c>
      <c r="M180" s="21">
        <f>ABS(D180)</f>
        <v/>
      </c>
      <c r="N180" s="22">
        <f>(C180-AVERAGE(C$4:C$213))/STDEVP(C$4:C$213)</f>
        <v/>
      </c>
      <c r="O180" s="23">
        <f>L180/MEDIAN(L$4:L$213)</f>
        <v/>
      </c>
      <c r="P180" s="24">
        <f>IF(N180&gt;=요약!$C$5,"대량매수",IF(N180&lt;=-요약!$C$5,"대량매도",""))</f>
        <v/>
      </c>
      <c r="Q180" s="22">
        <f>(D180-AVERAGE(D$4:D$213))/STDEVP(D$4:D$213)</f>
        <v/>
      </c>
      <c r="R180" s="23">
        <f>M180/MEDIAN(M$4:M$213)</f>
        <v/>
      </c>
      <c r="S180" s="24">
        <f>IF(Q180&gt;=요약!$C$5,"대량매수",IF(Q180&lt;=-요약!$C$5,"대량매도",""))</f>
        <v/>
      </c>
    </row>
    <row r="181">
      <c r="A181" s="19" t="n">
        <v>46034</v>
      </c>
      <c r="B181" s="20" t="n">
        <v>1000</v>
      </c>
      <c r="C181" s="20" t="n">
        <v>-74</v>
      </c>
      <c r="D181" s="20" t="n">
        <v>-686</v>
      </c>
      <c r="E181" s="20" t="n">
        <v>343</v>
      </c>
      <c r="F181" s="20" t="n">
        <v>-121</v>
      </c>
      <c r="G181" s="20" t="n">
        <v>-505</v>
      </c>
      <c r="H181" s="20" t="n">
        <v>3</v>
      </c>
      <c r="I181" s="20" t="n">
        <v>-197</v>
      </c>
      <c r="J181" s="20" t="n">
        <v>-208</v>
      </c>
      <c r="K181" s="20" t="n">
        <v>-240</v>
      </c>
      <c r="L181" s="21">
        <f>ABS(C181)</f>
        <v/>
      </c>
      <c r="M181" s="21">
        <f>ABS(D181)</f>
        <v/>
      </c>
      <c r="N181" s="22">
        <f>(C181-AVERAGE(C$4:C$213))/STDEVP(C$4:C$213)</f>
        <v/>
      </c>
      <c r="O181" s="23">
        <f>L181/MEDIAN(L$4:L$213)</f>
        <v/>
      </c>
      <c r="P181" s="24">
        <f>IF(N181&gt;=요약!$C$5,"대량매수",IF(N181&lt;=-요약!$C$5,"대량매도",""))</f>
        <v/>
      </c>
      <c r="Q181" s="22">
        <f>(D181-AVERAGE(D$4:D$213))/STDEVP(D$4:D$213)</f>
        <v/>
      </c>
      <c r="R181" s="23">
        <f>M181/MEDIAN(M$4:M$213)</f>
        <v/>
      </c>
      <c r="S181" s="24">
        <f>IF(Q181&gt;=요약!$C$5,"대량매수",IF(Q181&lt;=-요약!$C$5,"대량매도",""))</f>
        <v/>
      </c>
    </row>
    <row r="182">
      <c r="A182" s="19" t="n">
        <v>46031</v>
      </c>
      <c r="B182" s="20" t="n">
        <v>1064</v>
      </c>
      <c r="C182" s="20" t="n">
        <v>-1700</v>
      </c>
      <c r="D182" s="20" t="n">
        <v>762</v>
      </c>
      <c r="E182" s="20" t="n">
        <v>1375</v>
      </c>
      <c r="F182" s="20" t="n">
        <v>6</v>
      </c>
      <c r="G182" s="20" t="n">
        <v>-511</v>
      </c>
      <c r="H182" s="20" t="n">
        <v>5</v>
      </c>
      <c r="I182" s="20" t="n">
        <v>-26</v>
      </c>
      <c r="J182" s="20" t="n">
        <v>-86</v>
      </c>
      <c r="K182" s="20" t="n">
        <v>-126</v>
      </c>
      <c r="L182" s="21">
        <f>ABS(C182)</f>
        <v/>
      </c>
      <c r="M182" s="21">
        <f>ABS(D182)</f>
        <v/>
      </c>
      <c r="N182" s="22">
        <f>(C182-AVERAGE(C$4:C$213))/STDEVP(C$4:C$213)</f>
        <v/>
      </c>
      <c r="O182" s="23">
        <f>L182/MEDIAN(L$4:L$213)</f>
        <v/>
      </c>
      <c r="P182" s="24">
        <f>IF(N182&gt;=요약!$C$5,"대량매수",IF(N182&lt;=-요약!$C$5,"대량매도",""))</f>
        <v/>
      </c>
      <c r="Q182" s="22">
        <f>(D182-AVERAGE(D$4:D$213))/STDEVP(D$4:D$213)</f>
        <v/>
      </c>
      <c r="R182" s="23">
        <f>M182/MEDIAN(M$4:M$213)</f>
        <v/>
      </c>
      <c r="S182" s="24">
        <f>IF(Q182&gt;=요약!$C$5,"대량매수",IF(Q182&lt;=-요약!$C$5,"대량매도",""))</f>
        <v/>
      </c>
    </row>
    <row r="183">
      <c r="A183" s="19" t="n">
        <v>46030</v>
      </c>
      <c r="B183" s="20" t="n">
        <v>673</v>
      </c>
      <c r="C183" s="20" t="n">
        <v>-915</v>
      </c>
      <c r="D183" s="20" t="n">
        <v>272</v>
      </c>
      <c r="E183" s="20" t="n">
        <v>295</v>
      </c>
      <c r="F183" s="20" t="n">
        <v>32</v>
      </c>
      <c r="G183" s="20" t="n">
        <v>-136</v>
      </c>
      <c r="H183" s="20" t="n">
        <v>-1</v>
      </c>
      <c r="I183" s="20" t="n">
        <v>-28</v>
      </c>
      <c r="J183" s="20" t="n">
        <v>111</v>
      </c>
      <c r="K183" s="20" t="n">
        <v>-31</v>
      </c>
      <c r="L183" s="21">
        <f>ABS(C183)</f>
        <v/>
      </c>
      <c r="M183" s="21">
        <f>ABS(D183)</f>
        <v/>
      </c>
      <c r="N183" s="22">
        <f>(C183-AVERAGE(C$4:C$213))/STDEVP(C$4:C$213)</f>
        <v/>
      </c>
      <c r="O183" s="23">
        <f>L183/MEDIAN(L$4:L$213)</f>
        <v/>
      </c>
      <c r="P183" s="24">
        <f>IF(N183&gt;=요약!$C$5,"대량매수",IF(N183&lt;=-요약!$C$5,"대량매도",""))</f>
        <v/>
      </c>
      <c r="Q183" s="22">
        <f>(D183-AVERAGE(D$4:D$213))/STDEVP(D$4:D$213)</f>
        <v/>
      </c>
      <c r="R183" s="23">
        <f>M183/MEDIAN(M$4:M$213)</f>
        <v/>
      </c>
      <c r="S183" s="24">
        <f>IF(Q183&gt;=요약!$C$5,"대량매수",IF(Q183&lt;=-요약!$C$5,"대량매도",""))</f>
        <v/>
      </c>
    </row>
    <row r="184">
      <c r="A184" s="19" t="n">
        <v>46029</v>
      </c>
      <c r="B184" s="20" t="n">
        <v>1833</v>
      </c>
      <c r="C184" s="20" t="n">
        <v>2573</v>
      </c>
      <c r="D184" s="20" t="n">
        <v>-1003</v>
      </c>
      <c r="E184" s="20" t="n">
        <v>448</v>
      </c>
      <c r="F184" s="20" t="n">
        <v>-19</v>
      </c>
      <c r="G184" s="20" t="n">
        <v>-930</v>
      </c>
      <c r="H184" s="20" t="n">
        <v>-8</v>
      </c>
      <c r="I184" s="20" t="n">
        <v>-163</v>
      </c>
      <c r="J184" s="20" t="n">
        <v>-331</v>
      </c>
      <c r="K184" s="20" t="n">
        <v>-3404</v>
      </c>
      <c r="L184" s="21">
        <f>ABS(C184)</f>
        <v/>
      </c>
      <c r="M184" s="21">
        <f>ABS(D184)</f>
        <v/>
      </c>
      <c r="N184" s="22">
        <f>(C184-AVERAGE(C$4:C$213))/STDEVP(C$4:C$213)</f>
        <v/>
      </c>
      <c r="O184" s="23">
        <f>L184/MEDIAN(L$4:L$213)</f>
        <v/>
      </c>
      <c r="P184" s="24">
        <f>IF(N184&gt;=요약!$C$5,"대량매수",IF(N184&lt;=-요약!$C$5,"대량매도",""))</f>
        <v/>
      </c>
      <c r="Q184" s="22">
        <f>(D184-AVERAGE(D$4:D$213))/STDEVP(D$4:D$213)</f>
        <v/>
      </c>
      <c r="R184" s="23">
        <f>M184/MEDIAN(M$4:M$213)</f>
        <v/>
      </c>
      <c r="S184" s="24">
        <f>IF(Q184&gt;=요약!$C$5,"대량매수",IF(Q184&lt;=-요약!$C$5,"대량매도",""))</f>
        <v/>
      </c>
    </row>
    <row r="185">
      <c r="A185" s="19" t="n">
        <v>46028</v>
      </c>
      <c r="B185" s="20" t="n">
        <v>3813</v>
      </c>
      <c r="C185" s="20" t="n">
        <v>-3349</v>
      </c>
      <c r="D185" s="20" t="n">
        <v>-301</v>
      </c>
      <c r="E185" s="20" t="n">
        <v>1649</v>
      </c>
      <c r="F185" s="20" t="n">
        <v>-80</v>
      </c>
      <c r="G185" s="20" t="n">
        <v>-1628</v>
      </c>
      <c r="H185" s="20" t="n">
        <v>5</v>
      </c>
      <c r="I185" s="20" t="n">
        <v>-62</v>
      </c>
      <c r="J185" s="20" t="n">
        <v>-184</v>
      </c>
      <c r="K185" s="20" t="n">
        <v>-164</v>
      </c>
      <c r="L185" s="21">
        <f>ABS(C185)</f>
        <v/>
      </c>
      <c r="M185" s="21">
        <f>ABS(D185)</f>
        <v/>
      </c>
      <c r="N185" s="22">
        <f>(C185-AVERAGE(C$4:C$213))/STDEVP(C$4:C$213)</f>
        <v/>
      </c>
      <c r="O185" s="23">
        <f>L185/MEDIAN(L$4:L$213)</f>
        <v/>
      </c>
      <c r="P185" s="24">
        <f>IF(N185&gt;=요약!$C$5,"대량매수",IF(N185&lt;=-요약!$C$5,"대량매도",""))</f>
        <v/>
      </c>
      <c r="Q185" s="22">
        <f>(D185-AVERAGE(D$4:D$213))/STDEVP(D$4:D$213)</f>
        <v/>
      </c>
      <c r="R185" s="23">
        <f>M185/MEDIAN(M$4:M$213)</f>
        <v/>
      </c>
      <c r="S185" s="24">
        <f>IF(Q185&gt;=요약!$C$5,"대량매수",IF(Q185&lt;=-요약!$C$5,"대량매도",""))</f>
        <v/>
      </c>
    </row>
    <row r="186">
      <c r="A186" s="19" t="n">
        <v>46027</v>
      </c>
      <c r="B186" s="20" t="n">
        <v>997</v>
      </c>
      <c r="C186" s="20" t="n">
        <v>-1120</v>
      </c>
      <c r="D186" s="20" t="n">
        <v>243</v>
      </c>
      <c r="E186" s="20" t="n">
        <v>527</v>
      </c>
      <c r="F186" s="20" t="n">
        <v>-17</v>
      </c>
      <c r="G186" s="20" t="n">
        <v>-441</v>
      </c>
      <c r="H186" s="20" t="n">
        <v>1</v>
      </c>
      <c r="I186" s="20" t="n">
        <v>-98</v>
      </c>
      <c r="J186" s="20" t="n">
        <v>271</v>
      </c>
      <c r="K186" s="20" t="n">
        <v>-120</v>
      </c>
      <c r="L186" s="21">
        <f>ABS(C186)</f>
        <v/>
      </c>
      <c r="M186" s="21">
        <f>ABS(D186)</f>
        <v/>
      </c>
      <c r="N186" s="22">
        <f>(C186-AVERAGE(C$4:C$213))/STDEVP(C$4:C$213)</f>
        <v/>
      </c>
      <c r="O186" s="23">
        <f>L186/MEDIAN(L$4:L$213)</f>
        <v/>
      </c>
      <c r="P186" s="24">
        <f>IF(N186&gt;=요약!$C$5,"대량매수",IF(N186&lt;=-요약!$C$5,"대량매도",""))</f>
        <v/>
      </c>
      <c r="Q186" s="22">
        <f>(D186-AVERAGE(D$4:D$213))/STDEVP(D$4:D$213)</f>
        <v/>
      </c>
      <c r="R186" s="23">
        <f>M186/MEDIAN(M$4:M$213)</f>
        <v/>
      </c>
      <c r="S186" s="24">
        <f>IF(Q186&gt;=요약!$C$5,"대량매수",IF(Q186&lt;=-요약!$C$5,"대량매도",""))</f>
        <v/>
      </c>
    </row>
    <row r="187">
      <c r="A187" s="19" t="n">
        <v>46024</v>
      </c>
      <c r="B187" s="20" t="n">
        <v>-1825</v>
      </c>
      <c r="C187" s="20" t="n">
        <v>1044</v>
      </c>
      <c r="D187" s="20" t="n">
        <v>845</v>
      </c>
      <c r="E187" s="20" t="n">
        <v>621</v>
      </c>
      <c r="F187" s="20" t="n">
        <v>34</v>
      </c>
      <c r="G187" s="20" t="n">
        <v>-1</v>
      </c>
      <c r="H187" s="20" t="n">
        <v>15</v>
      </c>
      <c r="I187" s="20" t="n">
        <v>-113</v>
      </c>
      <c r="J187" s="20" t="n">
        <v>289</v>
      </c>
      <c r="K187" s="20" t="n">
        <v>-63</v>
      </c>
      <c r="L187" s="21">
        <f>ABS(C187)</f>
        <v/>
      </c>
      <c r="M187" s="21">
        <f>ABS(D187)</f>
        <v/>
      </c>
      <c r="N187" s="22">
        <f>(C187-AVERAGE(C$4:C$213))/STDEVP(C$4:C$213)</f>
        <v/>
      </c>
      <c r="O187" s="23">
        <f>L187/MEDIAN(L$4:L$213)</f>
        <v/>
      </c>
      <c r="P187" s="24">
        <f>IF(N187&gt;=요약!$C$5,"대량매수",IF(N187&lt;=-요약!$C$5,"대량매도",""))</f>
        <v/>
      </c>
      <c r="Q187" s="22">
        <f>(D187-AVERAGE(D$4:D$213))/STDEVP(D$4:D$213)</f>
        <v/>
      </c>
      <c r="R187" s="23">
        <f>M187/MEDIAN(M$4:M$213)</f>
        <v/>
      </c>
      <c r="S187" s="24">
        <f>IF(Q187&gt;=요약!$C$5,"대량매수",IF(Q187&lt;=-요약!$C$5,"대량매도",""))</f>
        <v/>
      </c>
    </row>
    <row r="188">
      <c r="A188" s="19" t="n">
        <v>46021</v>
      </c>
      <c r="B188" s="20" t="n">
        <v>5392</v>
      </c>
      <c r="C188" s="20" t="n">
        <v>-3266</v>
      </c>
      <c r="D188" s="20" t="n">
        <v>-1687</v>
      </c>
      <c r="E188" s="20" t="n">
        <v>-1066</v>
      </c>
      <c r="F188" s="20" t="n">
        <v>49</v>
      </c>
      <c r="G188" s="20" t="n">
        <v>-703</v>
      </c>
      <c r="H188" s="20" t="n">
        <v>2</v>
      </c>
      <c r="I188" s="20" t="n">
        <v>-115</v>
      </c>
      <c r="J188" s="20" t="n">
        <v>146</v>
      </c>
      <c r="K188" s="20" t="n">
        <v>-439</v>
      </c>
      <c r="L188" s="21">
        <f>ABS(C188)</f>
        <v/>
      </c>
      <c r="M188" s="21">
        <f>ABS(D188)</f>
        <v/>
      </c>
      <c r="N188" s="22">
        <f>(C188-AVERAGE(C$4:C$213))/STDEVP(C$4:C$213)</f>
        <v/>
      </c>
      <c r="O188" s="23">
        <f>L188/MEDIAN(L$4:L$213)</f>
        <v/>
      </c>
      <c r="P188" s="24">
        <f>IF(N188&gt;=요약!$C$5,"대량매수",IF(N188&lt;=-요약!$C$5,"대량매도",""))</f>
        <v/>
      </c>
      <c r="Q188" s="22">
        <f>(D188-AVERAGE(D$4:D$213))/STDEVP(D$4:D$213)</f>
        <v/>
      </c>
      <c r="R188" s="23">
        <f>M188/MEDIAN(M$4:M$213)</f>
        <v/>
      </c>
      <c r="S188" s="24">
        <f>IF(Q188&gt;=요약!$C$5,"대량매수",IF(Q188&lt;=-요약!$C$5,"대량매도",""))</f>
        <v/>
      </c>
    </row>
    <row r="189">
      <c r="A189" s="19" t="n">
        <v>46020</v>
      </c>
      <c r="B189" s="20" t="n">
        <v>1877</v>
      </c>
      <c r="C189" s="20" t="n">
        <v>854</v>
      </c>
      <c r="D189" s="20" t="n">
        <v>-1784</v>
      </c>
      <c r="E189" s="20" t="n">
        <v>-1286</v>
      </c>
      <c r="F189" s="20" t="n">
        <v>5</v>
      </c>
      <c r="G189" s="20" t="n">
        <v>-353</v>
      </c>
      <c r="H189" s="20" t="n">
        <v>-2</v>
      </c>
      <c r="I189" s="20" t="n">
        <v>-385</v>
      </c>
      <c r="J189" s="20" t="n">
        <v>237</v>
      </c>
      <c r="K189" s="20" t="n">
        <v>-947</v>
      </c>
      <c r="L189" s="21">
        <f>ABS(C189)</f>
        <v/>
      </c>
      <c r="M189" s="21">
        <f>ABS(D189)</f>
        <v/>
      </c>
      <c r="N189" s="22">
        <f>(C189-AVERAGE(C$4:C$213))/STDEVP(C$4:C$213)</f>
        <v/>
      </c>
      <c r="O189" s="23">
        <f>L189/MEDIAN(L$4:L$213)</f>
        <v/>
      </c>
      <c r="P189" s="24">
        <f>IF(N189&gt;=요약!$C$5,"대량매수",IF(N189&lt;=-요약!$C$5,"대량매도",""))</f>
        <v/>
      </c>
      <c r="Q189" s="22">
        <f>(D189-AVERAGE(D$4:D$213))/STDEVP(D$4:D$213)</f>
        <v/>
      </c>
      <c r="R189" s="23">
        <f>M189/MEDIAN(M$4:M$213)</f>
        <v/>
      </c>
      <c r="S189" s="24">
        <f>IF(Q189&gt;=요약!$C$5,"대량매수",IF(Q189&lt;=-요약!$C$5,"대량매도",""))</f>
        <v/>
      </c>
    </row>
    <row r="190">
      <c r="A190" s="19" t="n">
        <v>46017</v>
      </c>
      <c r="B190" s="20" t="n">
        <v>-4596</v>
      </c>
      <c r="C190" s="20" t="n">
        <v>972</v>
      </c>
      <c r="D190" s="20" t="n">
        <v>3583</v>
      </c>
      <c r="E190" s="20" t="n">
        <v>2240</v>
      </c>
      <c r="F190" s="20" t="n">
        <v>86</v>
      </c>
      <c r="G190" s="20" t="n">
        <v>328</v>
      </c>
      <c r="H190" s="20" t="n">
        <v>-8</v>
      </c>
      <c r="I190" s="20" t="n">
        <v>14</v>
      </c>
      <c r="J190" s="20" t="n">
        <v>923</v>
      </c>
      <c r="K190" s="20" t="n">
        <v>42</v>
      </c>
      <c r="L190" s="21">
        <f>ABS(C190)</f>
        <v/>
      </c>
      <c r="M190" s="21">
        <f>ABS(D190)</f>
        <v/>
      </c>
      <c r="N190" s="22">
        <f>(C190-AVERAGE(C$4:C$213))/STDEVP(C$4:C$213)</f>
        <v/>
      </c>
      <c r="O190" s="23">
        <f>L190/MEDIAN(L$4:L$213)</f>
        <v/>
      </c>
      <c r="P190" s="24">
        <f>IF(N190&gt;=요약!$C$5,"대량매수",IF(N190&lt;=-요약!$C$5,"대량매도",""))</f>
        <v/>
      </c>
      <c r="Q190" s="22">
        <f>(D190-AVERAGE(D$4:D$213))/STDEVP(D$4:D$213)</f>
        <v/>
      </c>
      <c r="R190" s="23">
        <f>M190/MEDIAN(M$4:M$213)</f>
        <v/>
      </c>
      <c r="S190" s="24">
        <f>IF(Q190&gt;=요약!$C$5,"대량매수",IF(Q190&lt;=-요약!$C$5,"대량매도",""))</f>
        <v/>
      </c>
    </row>
    <row r="191">
      <c r="A191" s="19" t="n">
        <v>46015</v>
      </c>
      <c r="B191" s="20" t="n">
        <v>-89</v>
      </c>
      <c r="C191" s="20" t="n">
        <v>-358</v>
      </c>
      <c r="D191" s="20" t="n">
        <v>769</v>
      </c>
      <c r="E191" s="20" t="n">
        <v>1022</v>
      </c>
      <c r="F191" s="20" t="n">
        <v>-2</v>
      </c>
      <c r="G191" s="20" t="n">
        <v>-150</v>
      </c>
      <c r="H191" s="20" t="n">
        <v>-5</v>
      </c>
      <c r="I191" s="20" t="n">
        <v>-281</v>
      </c>
      <c r="J191" s="20" t="n">
        <v>184</v>
      </c>
      <c r="K191" s="20" t="n">
        <v>-322</v>
      </c>
      <c r="L191" s="21">
        <f>ABS(C191)</f>
        <v/>
      </c>
      <c r="M191" s="21">
        <f>ABS(D191)</f>
        <v/>
      </c>
      <c r="N191" s="22">
        <f>(C191-AVERAGE(C$4:C$213))/STDEVP(C$4:C$213)</f>
        <v/>
      </c>
      <c r="O191" s="23">
        <f>L191/MEDIAN(L$4:L$213)</f>
        <v/>
      </c>
      <c r="P191" s="24">
        <f>IF(N191&gt;=요약!$C$5,"대량매수",IF(N191&lt;=-요약!$C$5,"대량매도",""))</f>
        <v/>
      </c>
      <c r="Q191" s="22">
        <f>(D191-AVERAGE(D$4:D$213))/STDEVP(D$4:D$213)</f>
        <v/>
      </c>
      <c r="R191" s="23">
        <f>M191/MEDIAN(M$4:M$213)</f>
        <v/>
      </c>
      <c r="S191" s="24">
        <f>IF(Q191&gt;=요약!$C$5,"대량매수",IF(Q191&lt;=-요약!$C$5,"대량매도",""))</f>
        <v/>
      </c>
    </row>
    <row r="192">
      <c r="A192" s="19" t="n">
        <v>46014</v>
      </c>
      <c r="B192" s="20" t="n">
        <v>1799</v>
      </c>
      <c r="C192" s="20" t="n">
        <v>-1497</v>
      </c>
      <c r="D192" s="20" t="n">
        <v>453</v>
      </c>
      <c r="E192" s="20" t="n">
        <v>409</v>
      </c>
      <c r="F192" s="20" t="n">
        <v>-19</v>
      </c>
      <c r="G192" s="20" t="n">
        <v>-79</v>
      </c>
      <c r="H192" s="20" t="n">
        <v>0</v>
      </c>
      <c r="I192" s="20" t="n">
        <v>-210</v>
      </c>
      <c r="J192" s="20" t="n">
        <v>351</v>
      </c>
      <c r="K192" s="20" t="n">
        <v>-755</v>
      </c>
      <c r="L192" s="21">
        <f>ABS(C192)</f>
        <v/>
      </c>
      <c r="M192" s="21">
        <f>ABS(D192)</f>
        <v/>
      </c>
      <c r="N192" s="22">
        <f>(C192-AVERAGE(C$4:C$213))/STDEVP(C$4:C$213)</f>
        <v/>
      </c>
      <c r="O192" s="23">
        <f>L192/MEDIAN(L$4:L$213)</f>
        <v/>
      </c>
      <c r="P192" s="24">
        <f>IF(N192&gt;=요약!$C$5,"대량매수",IF(N192&lt;=-요약!$C$5,"대량매도",""))</f>
        <v/>
      </c>
      <c r="Q192" s="22">
        <f>(D192-AVERAGE(D$4:D$213))/STDEVP(D$4:D$213)</f>
        <v/>
      </c>
      <c r="R192" s="23">
        <f>M192/MEDIAN(M$4:M$213)</f>
        <v/>
      </c>
      <c r="S192" s="24">
        <f>IF(Q192&gt;=요약!$C$5,"대량매수",IF(Q192&lt;=-요약!$C$5,"대량매도",""))</f>
        <v/>
      </c>
    </row>
    <row r="193">
      <c r="A193" s="19" t="n">
        <v>46013</v>
      </c>
      <c r="B193" s="20" t="n">
        <v>1062</v>
      </c>
      <c r="C193" s="20" t="n">
        <v>-332</v>
      </c>
      <c r="D193" s="20" t="n">
        <v>619</v>
      </c>
      <c r="E193" s="20" t="n">
        <v>433</v>
      </c>
      <c r="F193" s="20" t="n">
        <v>48</v>
      </c>
      <c r="G193" s="20" t="n">
        <v>273</v>
      </c>
      <c r="H193" s="20" t="n">
        <v>-6</v>
      </c>
      <c r="I193" s="20" t="n">
        <v>-327</v>
      </c>
      <c r="J193" s="20" t="n">
        <v>199</v>
      </c>
      <c r="K193" s="20" t="n">
        <v>-1350</v>
      </c>
      <c r="L193" s="21">
        <f>ABS(C193)</f>
        <v/>
      </c>
      <c r="M193" s="21">
        <f>ABS(D193)</f>
        <v/>
      </c>
      <c r="N193" s="22">
        <f>(C193-AVERAGE(C$4:C$213))/STDEVP(C$4:C$213)</f>
        <v/>
      </c>
      <c r="O193" s="23">
        <f>L193/MEDIAN(L$4:L$213)</f>
        <v/>
      </c>
      <c r="P193" s="24">
        <f>IF(N193&gt;=요약!$C$5,"대량매수",IF(N193&lt;=-요약!$C$5,"대량매도",""))</f>
        <v/>
      </c>
      <c r="Q193" s="22">
        <f>(D193-AVERAGE(D$4:D$213))/STDEVP(D$4:D$213)</f>
        <v/>
      </c>
      <c r="R193" s="23">
        <f>M193/MEDIAN(M$4:M$213)</f>
        <v/>
      </c>
      <c r="S193" s="24">
        <f>IF(Q193&gt;=요약!$C$5,"대량매수",IF(Q193&lt;=-요약!$C$5,"대량매도",""))</f>
        <v/>
      </c>
    </row>
    <row r="194">
      <c r="A194" s="19" t="n">
        <v>46010</v>
      </c>
      <c r="B194" s="20" t="n">
        <v>-2825</v>
      </c>
      <c r="C194" s="20" t="n">
        <v>1067</v>
      </c>
      <c r="D194" s="20" t="n">
        <v>1993</v>
      </c>
      <c r="E194" s="20" t="n">
        <v>1186</v>
      </c>
      <c r="F194" s="20" t="n">
        <v>94</v>
      </c>
      <c r="G194" s="20" t="n">
        <v>425</v>
      </c>
      <c r="H194" s="20" t="n">
        <v>2</v>
      </c>
      <c r="I194" s="20" t="n">
        <v>-158</v>
      </c>
      <c r="J194" s="20" t="n">
        <v>445</v>
      </c>
      <c r="K194" s="20" t="n">
        <v>-236</v>
      </c>
      <c r="L194" s="21">
        <f>ABS(C194)</f>
        <v/>
      </c>
      <c r="M194" s="21">
        <f>ABS(D194)</f>
        <v/>
      </c>
      <c r="N194" s="22">
        <f>(C194-AVERAGE(C$4:C$213))/STDEVP(C$4:C$213)</f>
        <v/>
      </c>
      <c r="O194" s="23">
        <f>L194/MEDIAN(L$4:L$213)</f>
        <v/>
      </c>
      <c r="P194" s="24">
        <f>IF(N194&gt;=요약!$C$5,"대량매수",IF(N194&lt;=-요약!$C$5,"대량매도",""))</f>
        <v/>
      </c>
      <c r="Q194" s="22">
        <f>(D194-AVERAGE(D$4:D$213))/STDEVP(D$4:D$213)</f>
        <v/>
      </c>
      <c r="R194" s="23">
        <f>M194/MEDIAN(M$4:M$213)</f>
        <v/>
      </c>
      <c r="S194" s="24">
        <f>IF(Q194&gt;=요약!$C$5,"대량매수",IF(Q194&lt;=-요약!$C$5,"대량매도",""))</f>
        <v/>
      </c>
    </row>
    <row r="195">
      <c r="A195" s="19" t="n">
        <v>46009</v>
      </c>
      <c r="B195" s="20" t="n">
        <v>990</v>
      </c>
      <c r="C195" s="20" t="n">
        <v>-901</v>
      </c>
      <c r="D195" s="20" t="n">
        <v>-85</v>
      </c>
      <c r="E195" s="20" t="n">
        <v>222</v>
      </c>
      <c r="F195" s="20" t="n">
        <v>-16</v>
      </c>
      <c r="G195" s="20" t="n">
        <v>-409</v>
      </c>
      <c r="H195" s="20" t="n">
        <v>-1</v>
      </c>
      <c r="I195" s="20" t="n">
        <v>-48</v>
      </c>
      <c r="J195" s="20" t="n">
        <v>168</v>
      </c>
      <c r="K195" s="20" t="n">
        <v>-4</v>
      </c>
      <c r="L195" s="21">
        <f>ABS(C195)</f>
        <v/>
      </c>
      <c r="M195" s="21">
        <f>ABS(D195)</f>
        <v/>
      </c>
      <c r="N195" s="22">
        <f>(C195-AVERAGE(C$4:C$213))/STDEVP(C$4:C$213)</f>
        <v/>
      </c>
      <c r="O195" s="23">
        <f>L195/MEDIAN(L$4:L$213)</f>
        <v/>
      </c>
      <c r="P195" s="24">
        <f>IF(N195&gt;=요약!$C$5,"대량매수",IF(N195&lt;=-요약!$C$5,"대량매도",""))</f>
        <v/>
      </c>
      <c r="Q195" s="22">
        <f>(D195-AVERAGE(D$4:D$213))/STDEVP(D$4:D$213)</f>
        <v/>
      </c>
      <c r="R195" s="23">
        <f>M195/MEDIAN(M$4:M$213)</f>
        <v/>
      </c>
      <c r="S195" s="24">
        <f>IF(Q195&gt;=요약!$C$5,"대량매수",IF(Q195&lt;=-요약!$C$5,"대량매도",""))</f>
        <v/>
      </c>
    </row>
    <row r="196">
      <c r="A196" s="19" t="n">
        <v>46008</v>
      </c>
      <c r="B196" s="20" t="n">
        <v>2646</v>
      </c>
      <c r="C196" s="20" t="n">
        <v>-2219</v>
      </c>
      <c r="D196" s="20" t="n">
        <v>122</v>
      </c>
      <c r="E196" s="20" t="n">
        <v>739</v>
      </c>
      <c r="F196" s="20" t="n">
        <v>-7</v>
      </c>
      <c r="G196" s="20" t="n">
        <v>-342</v>
      </c>
      <c r="H196" s="20" t="n">
        <v>-5</v>
      </c>
      <c r="I196" s="20" t="n">
        <v>-232</v>
      </c>
      <c r="J196" s="20" t="n">
        <v>-31</v>
      </c>
      <c r="K196" s="20" t="n">
        <v>-549</v>
      </c>
      <c r="L196" s="21">
        <f>ABS(C196)</f>
        <v/>
      </c>
      <c r="M196" s="21">
        <f>ABS(D196)</f>
        <v/>
      </c>
      <c r="N196" s="22">
        <f>(C196-AVERAGE(C$4:C$213))/STDEVP(C$4:C$213)</f>
        <v/>
      </c>
      <c r="O196" s="23">
        <f>L196/MEDIAN(L$4:L$213)</f>
        <v/>
      </c>
      <c r="P196" s="24">
        <f>IF(N196&gt;=요약!$C$5,"대량매수",IF(N196&lt;=-요약!$C$5,"대량매도",""))</f>
        <v/>
      </c>
      <c r="Q196" s="22">
        <f>(D196-AVERAGE(D$4:D$213))/STDEVP(D$4:D$213)</f>
        <v/>
      </c>
      <c r="R196" s="23">
        <f>M196/MEDIAN(M$4:M$213)</f>
        <v/>
      </c>
      <c r="S196" s="24">
        <f>IF(Q196&gt;=요약!$C$5,"대량매수",IF(Q196&lt;=-요약!$C$5,"대량매도",""))</f>
        <v/>
      </c>
    </row>
    <row r="197">
      <c r="A197" s="19" t="n">
        <v>46007</v>
      </c>
      <c r="B197" s="20" t="n">
        <v>3984</v>
      </c>
      <c r="C197" s="20" t="n">
        <v>-3523</v>
      </c>
      <c r="D197" s="20" t="n">
        <v>11</v>
      </c>
      <c r="E197" s="20" t="n">
        <v>350</v>
      </c>
      <c r="F197" s="20" t="n">
        <v>-66</v>
      </c>
      <c r="G197" s="20" t="n">
        <v>-347</v>
      </c>
      <c r="H197" s="20" t="n">
        <v>0</v>
      </c>
      <c r="I197" s="20" t="n">
        <v>-109</v>
      </c>
      <c r="J197" s="20" t="n">
        <v>184</v>
      </c>
      <c r="K197" s="20" t="n">
        <v>-472</v>
      </c>
      <c r="L197" s="21">
        <f>ABS(C197)</f>
        <v/>
      </c>
      <c r="M197" s="21">
        <f>ABS(D197)</f>
        <v/>
      </c>
      <c r="N197" s="22">
        <f>(C197-AVERAGE(C$4:C$213))/STDEVP(C$4:C$213)</f>
        <v/>
      </c>
      <c r="O197" s="23">
        <f>L197/MEDIAN(L$4:L$213)</f>
        <v/>
      </c>
      <c r="P197" s="24">
        <f>IF(N197&gt;=요약!$C$5,"대량매수",IF(N197&lt;=-요약!$C$5,"대량매도",""))</f>
        <v/>
      </c>
      <c r="Q197" s="22">
        <f>(D197-AVERAGE(D$4:D$213))/STDEVP(D$4:D$213)</f>
        <v/>
      </c>
      <c r="R197" s="23">
        <f>M197/MEDIAN(M$4:M$213)</f>
        <v/>
      </c>
      <c r="S197" s="24">
        <f>IF(Q197&gt;=요약!$C$5,"대량매수",IF(Q197&lt;=-요약!$C$5,"대량매도",""))</f>
        <v/>
      </c>
    </row>
    <row r="198">
      <c r="A198" s="19" t="n">
        <v>46006</v>
      </c>
      <c r="B198" s="20" t="n">
        <v>1813</v>
      </c>
      <c r="C198" s="20" t="n">
        <v>-185</v>
      </c>
      <c r="D198" s="20" t="n">
        <v>-1323</v>
      </c>
      <c r="E198" s="20" t="n">
        <v>-306</v>
      </c>
      <c r="F198" s="20" t="n">
        <v>-31</v>
      </c>
      <c r="G198" s="20" t="n">
        <v>-1041</v>
      </c>
      <c r="H198" s="20" t="n">
        <v>-38</v>
      </c>
      <c r="I198" s="20" t="n">
        <v>-133</v>
      </c>
      <c r="J198" s="20" t="n">
        <v>226</v>
      </c>
      <c r="K198" s="20" t="n">
        <v>-306</v>
      </c>
      <c r="L198" s="21">
        <f>ABS(C198)</f>
        <v/>
      </c>
      <c r="M198" s="21">
        <f>ABS(D198)</f>
        <v/>
      </c>
      <c r="N198" s="22">
        <f>(C198-AVERAGE(C$4:C$213))/STDEVP(C$4:C$213)</f>
        <v/>
      </c>
      <c r="O198" s="23">
        <f>L198/MEDIAN(L$4:L$213)</f>
        <v/>
      </c>
      <c r="P198" s="24">
        <f>IF(N198&gt;=요약!$C$5,"대량매수",IF(N198&lt;=-요약!$C$5,"대량매도",""))</f>
        <v/>
      </c>
      <c r="Q198" s="22">
        <f>(D198-AVERAGE(D$4:D$213))/STDEVP(D$4:D$213)</f>
        <v/>
      </c>
      <c r="R198" s="23">
        <f>M198/MEDIAN(M$4:M$213)</f>
        <v/>
      </c>
      <c r="S198" s="24">
        <f>IF(Q198&gt;=요약!$C$5,"대량매수",IF(Q198&lt;=-요약!$C$5,"대량매도",""))</f>
        <v/>
      </c>
    </row>
    <row r="199">
      <c r="A199" s="19" t="n">
        <v>46003</v>
      </c>
      <c r="B199" s="20" t="n">
        <v>-1505</v>
      </c>
      <c r="C199" s="20" t="n">
        <v>1964</v>
      </c>
      <c r="D199" s="20" t="n">
        <v>319</v>
      </c>
      <c r="E199" s="20" t="n">
        <v>760</v>
      </c>
      <c r="F199" s="20" t="n">
        <v>30</v>
      </c>
      <c r="G199" s="20" t="n">
        <v>-298</v>
      </c>
      <c r="H199" s="20" t="n">
        <v>-16</v>
      </c>
      <c r="I199" s="20" t="n">
        <v>-51</v>
      </c>
      <c r="J199" s="20" t="n">
        <v>-105</v>
      </c>
      <c r="K199" s="20" t="n">
        <v>-777</v>
      </c>
      <c r="L199" s="21">
        <f>ABS(C199)</f>
        <v/>
      </c>
      <c r="M199" s="21">
        <f>ABS(D199)</f>
        <v/>
      </c>
      <c r="N199" s="22">
        <f>(C199-AVERAGE(C$4:C$213))/STDEVP(C$4:C$213)</f>
        <v/>
      </c>
      <c r="O199" s="23">
        <f>L199/MEDIAN(L$4:L$213)</f>
        <v/>
      </c>
      <c r="P199" s="24">
        <f>IF(N199&gt;=요약!$C$5,"대량매수",IF(N199&lt;=-요약!$C$5,"대량매도",""))</f>
        <v/>
      </c>
      <c r="Q199" s="22">
        <f>(D199-AVERAGE(D$4:D$213))/STDEVP(D$4:D$213)</f>
        <v/>
      </c>
      <c r="R199" s="23">
        <f>M199/MEDIAN(M$4:M$213)</f>
        <v/>
      </c>
      <c r="S199" s="24">
        <f>IF(Q199&gt;=요약!$C$5,"대량매수",IF(Q199&lt;=-요약!$C$5,"대량매도",""))</f>
        <v/>
      </c>
    </row>
    <row r="200">
      <c r="A200" s="19" t="n">
        <v>46002</v>
      </c>
      <c r="B200" s="20" t="n">
        <v>466</v>
      </c>
      <c r="C200" s="20" t="n">
        <v>514</v>
      </c>
      <c r="D200" s="20" t="n">
        <v>-342</v>
      </c>
      <c r="E200" s="20" t="n">
        <v>-279</v>
      </c>
      <c r="F200" s="20" t="n">
        <v>4</v>
      </c>
      <c r="G200" s="20" t="n">
        <v>-443</v>
      </c>
      <c r="H200" s="20" t="n">
        <v>1</v>
      </c>
      <c r="I200" s="20" t="n">
        <v>-26</v>
      </c>
      <c r="J200" s="20" t="n">
        <v>400</v>
      </c>
      <c r="K200" s="20" t="n">
        <v>-638</v>
      </c>
      <c r="L200" s="21">
        <f>ABS(C200)</f>
        <v/>
      </c>
      <c r="M200" s="21">
        <f>ABS(D200)</f>
        <v/>
      </c>
      <c r="N200" s="22">
        <f>(C200-AVERAGE(C$4:C$213))/STDEVP(C$4:C$213)</f>
        <v/>
      </c>
      <c r="O200" s="23">
        <f>L200/MEDIAN(L$4:L$213)</f>
        <v/>
      </c>
      <c r="P200" s="24">
        <f>IF(N200&gt;=요약!$C$5,"대량매수",IF(N200&lt;=-요약!$C$5,"대량매도",""))</f>
        <v/>
      </c>
      <c r="Q200" s="22">
        <f>(D200-AVERAGE(D$4:D$213))/STDEVP(D$4:D$213)</f>
        <v/>
      </c>
      <c r="R200" s="23">
        <f>M200/MEDIAN(M$4:M$213)</f>
        <v/>
      </c>
      <c r="S200" s="24">
        <f>IF(Q200&gt;=요약!$C$5,"대량매수",IF(Q200&lt;=-요약!$C$5,"대량매도",""))</f>
        <v/>
      </c>
    </row>
    <row r="201">
      <c r="A201" s="19" t="n">
        <v>46001</v>
      </c>
      <c r="B201" s="20" t="n">
        <v>-517</v>
      </c>
      <c r="C201" s="20" t="n">
        <v>972</v>
      </c>
      <c r="D201" s="20" t="n">
        <v>-31</v>
      </c>
      <c r="E201" s="20" t="n">
        <v>-52</v>
      </c>
      <c r="F201" s="20" t="n">
        <v>92</v>
      </c>
      <c r="G201" s="20" t="n">
        <v>-72</v>
      </c>
      <c r="H201" s="20" t="n">
        <v>-3</v>
      </c>
      <c r="I201" s="20" t="n">
        <v>-171</v>
      </c>
      <c r="J201" s="20" t="n">
        <v>175</v>
      </c>
      <c r="K201" s="20" t="n">
        <v>-425</v>
      </c>
      <c r="L201" s="21">
        <f>ABS(C201)</f>
        <v/>
      </c>
      <c r="M201" s="21">
        <f>ABS(D201)</f>
        <v/>
      </c>
      <c r="N201" s="22">
        <f>(C201-AVERAGE(C$4:C$213))/STDEVP(C$4:C$213)</f>
        <v/>
      </c>
      <c r="O201" s="23">
        <f>L201/MEDIAN(L$4:L$213)</f>
        <v/>
      </c>
      <c r="P201" s="24">
        <f>IF(N201&gt;=요약!$C$5,"대량매수",IF(N201&lt;=-요약!$C$5,"대량매도",""))</f>
        <v/>
      </c>
      <c r="Q201" s="22">
        <f>(D201-AVERAGE(D$4:D$213))/STDEVP(D$4:D$213)</f>
        <v/>
      </c>
      <c r="R201" s="23">
        <f>M201/MEDIAN(M$4:M$213)</f>
        <v/>
      </c>
      <c r="S201" s="24">
        <f>IF(Q201&gt;=요약!$C$5,"대량매수",IF(Q201&lt;=-요약!$C$5,"대량매도",""))</f>
        <v/>
      </c>
    </row>
    <row r="202">
      <c r="A202" s="19" t="n">
        <v>46000</v>
      </c>
      <c r="B202" s="20" t="n">
        <v>2135</v>
      </c>
      <c r="C202" s="20" t="n">
        <v>-581</v>
      </c>
      <c r="D202" s="20" t="n">
        <v>-1068</v>
      </c>
      <c r="E202" s="20" t="n">
        <v>-68</v>
      </c>
      <c r="F202" s="20" t="n">
        <v>16</v>
      </c>
      <c r="G202" s="20" t="n">
        <v>-897</v>
      </c>
      <c r="H202" s="20" t="n">
        <v>0</v>
      </c>
      <c r="I202" s="20" t="n">
        <v>71</v>
      </c>
      <c r="J202" s="20" t="n">
        <v>-190</v>
      </c>
      <c r="K202" s="20" t="n">
        <v>-486</v>
      </c>
      <c r="L202" s="21">
        <f>ABS(C202)</f>
        <v/>
      </c>
      <c r="M202" s="21">
        <f>ABS(D202)</f>
        <v/>
      </c>
      <c r="N202" s="22">
        <f>(C202-AVERAGE(C$4:C$213))/STDEVP(C$4:C$213)</f>
        <v/>
      </c>
      <c r="O202" s="23">
        <f>L202/MEDIAN(L$4:L$213)</f>
        <v/>
      </c>
      <c r="P202" s="24">
        <f>IF(N202&gt;=요약!$C$5,"대량매수",IF(N202&lt;=-요약!$C$5,"대량매도",""))</f>
        <v/>
      </c>
      <c r="Q202" s="22">
        <f>(D202-AVERAGE(D$4:D$213))/STDEVP(D$4:D$213)</f>
        <v/>
      </c>
      <c r="R202" s="23">
        <f>M202/MEDIAN(M$4:M$213)</f>
        <v/>
      </c>
      <c r="S202" s="24">
        <f>IF(Q202&gt;=요약!$C$5,"대량매수",IF(Q202&lt;=-요약!$C$5,"대량매도",""))</f>
        <v/>
      </c>
    </row>
    <row r="203">
      <c r="A203" s="19" t="n">
        <v>45999</v>
      </c>
      <c r="B203" s="20" t="n">
        <v>-1515</v>
      </c>
      <c r="C203" s="20" t="n">
        <v>3830</v>
      </c>
      <c r="D203" s="20" t="n">
        <v>-1864</v>
      </c>
      <c r="E203" s="20" t="n">
        <v>-181</v>
      </c>
      <c r="F203" s="20" t="n">
        <v>-103</v>
      </c>
      <c r="G203" s="20" t="n">
        <v>-1070</v>
      </c>
      <c r="H203" s="20" t="n">
        <v>-1</v>
      </c>
      <c r="I203" s="20" t="n">
        <v>-156</v>
      </c>
      <c r="J203" s="20" t="n">
        <v>-354</v>
      </c>
      <c r="K203" s="20" t="n">
        <v>-451</v>
      </c>
      <c r="L203" s="21">
        <f>ABS(C203)</f>
        <v/>
      </c>
      <c r="M203" s="21">
        <f>ABS(D203)</f>
        <v/>
      </c>
      <c r="N203" s="22">
        <f>(C203-AVERAGE(C$4:C$213))/STDEVP(C$4:C$213)</f>
        <v/>
      </c>
      <c r="O203" s="23">
        <f>L203/MEDIAN(L$4:L$213)</f>
        <v/>
      </c>
      <c r="P203" s="24">
        <f>IF(N203&gt;=요약!$C$5,"대량매수",IF(N203&lt;=-요약!$C$5,"대량매도",""))</f>
        <v/>
      </c>
      <c r="Q203" s="22">
        <f>(D203-AVERAGE(D$4:D$213))/STDEVP(D$4:D$213)</f>
        <v/>
      </c>
      <c r="R203" s="23">
        <f>M203/MEDIAN(M$4:M$213)</f>
        <v/>
      </c>
      <c r="S203" s="24">
        <f>IF(Q203&gt;=요약!$C$5,"대량매수",IF(Q203&lt;=-요약!$C$5,"대량매도",""))</f>
        <v/>
      </c>
    </row>
    <row r="204">
      <c r="A204" s="19" t="n">
        <v>45996</v>
      </c>
      <c r="B204" s="20" t="n">
        <v>3198</v>
      </c>
      <c r="C204" s="20" t="n">
        <v>-1301</v>
      </c>
      <c r="D204" s="20" t="n">
        <v>-1864</v>
      </c>
      <c r="E204" s="20" t="n">
        <v>709</v>
      </c>
      <c r="F204" s="20" t="n">
        <v>-239</v>
      </c>
      <c r="G204" s="20" t="n">
        <v>-1882</v>
      </c>
      <c r="H204" s="20" t="n">
        <v>13</v>
      </c>
      <c r="I204" s="20" t="n">
        <v>-52</v>
      </c>
      <c r="J204" s="20" t="n">
        <v>-414</v>
      </c>
      <c r="K204" s="20" t="n">
        <v>-33</v>
      </c>
      <c r="L204" s="21">
        <f>ABS(C204)</f>
        <v/>
      </c>
      <c r="M204" s="21">
        <f>ABS(D204)</f>
        <v/>
      </c>
      <c r="N204" s="22">
        <f>(C204-AVERAGE(C$4:C$213))/STDEVP(C$4:C$213)</f>
        <v/>
      </c>
      <c r="O204" s="23">
        <f>L204/MEDIAN(L$4:L$213)</f>
        <v/>
      </c>
      <c r="P204" s="24">
        <f>IF(N204&gt;=요약!$C$5,"대량매수",IF(N204&lt;=-요약!$C$5,"대량매도",""))</f>
        <v/>
      </c>
      <c r="Q204" s="22">
        <f>(D204-AVERAGE(D$4:D$213))/STDEVP(D$4:D$213)</f>
        <v/>
      </c>
      <c r="R204" s="23">
        <f>M204/MEDIAN(M$4:M$213)</f>
        <v/>
      </c>
      <c r="S204" s="24">
        <f>IF(Q204&gt;=요약!$C$5,"대량매수",IF(Q204&lt;=-요약!$C$5,"대량매도",""))</f>
        <v/>
      </c>
    </row>
    <row r="205">
      <c r="A205" s="19" t="n">
        <v>45995</v>
      </c>
      <c r="B205" s="20" t="n">
        <v>-699</v>
      </c>
      <c r="C205" s="20" t="n">
        <v>781</v>
      </c>
      <c r="D205" s="20" t="n">
        <v>809</v>
      </c>
      <c r="E205" s="20" t="n">
        <v>1056</v>
      </c>
      <c r="F205" s="20" t="n">
        <v>10</v>
      </c>
      <c r="G205" s="20" t="n">
        <v>-335</v>
      </c>
      <c r="H205" s="20" t="n">
        <v>-2</v>
      </c>
      <c r="I205" s="20" t="n">
        <v>-68</v>
      </c>
      <c r="J205" s="20" t="n">
        <v>149</v>
      </c>
      <c r="K205" s="20" t="n">
        <v>-891</v>
      </c>
      <c r="L205" s="21">
        <f>ABS(C205)</f>
        <v/>
      </c>
      <c r="M205" s="21">
        <f>ABS(D205)</f>
        <v/>
      </c>
      <c r="N205" s="22">
        <f>(C205-AVERAGE(C$4:C$213))/STDEVP(C$4:C$213)</f>
        <v/>
      </c>
      <c r="O205" s="23">
        <f>L205/MEDIAN(L$4:L$213)</f>
        <v/>
      </c>
      <c r="P205" s="24">
        <f>IF(N205&gt;=요약!$C$5,"대량매수",IF(N205&lt;=-요약!$C$5,"대량매도",""))</f>
        <v/>
      </c>
      <c r="Q205" s="22">
        <f>(D205-AVERAGE(D$4:D$213))/STDEVP(D$4:D$213)</f>
        <v/>
      </c>
      <c r="R205" s="23">
        <f>M205/MEDIAN(M$4:M$213)</f>
        <v/>
      </c>
      <c r="S205" s="24">
        <f>IF(Q205&gt;=요약!$C$5,"대량매수",IF(Q205&lt;=-요약!$C$5,"대량매도",""))</f>
        <v/>
      </c>
    </row>
    <row r="206">
      <c r="A206" s="19" t="n">
        <v>45994</v>
      </c>
      <c r="B206" s="20" t="n">
        <v>1123</v>
      </c>
      <c r="C206" s="20" t="n">
        <v>-177</v>
      </c>
      <c r="D206" s="20" t="n">
        <v>-147</v>
      </c>
      <c r="E206" s="20" t="n">
        <v>-42</v>
      </c>
      <c r="F206" s="20" t="n">
        <v>-55</v>
      </c>
      <c r="G206" s="20" t="n">
        <v>-148</v>
      </c>
      <c r="H206" s="20" t="n">
        <v>-6</v>
      </c>
      <c r="I206" s="20" t="n">
        <v>-72</v>
      </c>
      <c r="J206" s="20" t="n">
        <v>176</v>
      </c>
      <c r="K206" s="20" t="n">
        <v>-799</v>
      </c>
      <c r="L206" s="21">
        <f>ABS(C206)</f>
        <v/>
      </c>
      <c r="M206" s="21">
        <f>ABS(D206)</f>
        <v/>
      </c>
      <c r="N206" s="22">
        <f>(C206-AVERAGE(C$4:C$213))/STDEVP(C$4:C$213)</f>
        <v/>
      </c>
      <c r="O206" s="23">
        <f>L206/MEDIAN(L$4:L$213)</f>
        <v/>
      </c>
      <c r="P206" s="24">
        <f>IF(N206&gt;=요약!$C$5,"대량매수",IF(N206&lt;=-요약!$C$5,"대량매도",""))</f>
        <v/>
      </c>
      <c r="Q206" s="22">
        <f>(D206-AVERAGE(D$4:D$213))/STDEVP(D$4:D$213)</f>
        <v/>
      </c>
      <c r="R206" s="23">
        <f>M206/MEDIAN(M$4:M$213)</f>
        <v/>
      </c>
      <c r="S206" s="24">
        <f>IF(Q206&gt;=요약!$C$5,"대량매수",IF(Q206&lt;=-요약!$C$5,"대량매도",""))</f>
        <v/>
      </c>
    </row>
    <row r="207">
      <c r="A207" s="19" t="n">
        <v>45993</v>
      </c>
      <c r="B207" s="20" t="n">
        <v>307</v>
      </c>
      <c r="C207" s="20" t="n">
        <v>-1253</v>
      </c>
      <c r="D207" s="20" t="n">
        <v>1372</v>
      </c>
      <c r="E207" s="20" t="n">
        <v>988</v>
      </c>
      <c r="F207" s="20" t="n">
        <v>-19</v>
      </c>
      <c r="G207" s="20" t="n">
        <v>258</v>
      </c>
      <c r="H207" s="20" t="n">
        <v>-5</v>
      </c>
      <c r="I207" s="20" t="n">
        <v>-107</v>
      </c>
      <c r="J207" s="20" t="n">
        <v>257</v>
      </c>
      <c r="K207" s="20" t="n">
        <v>-426</v>
      </c>
      <c r="L207" s="21">
        <f>ABS(C207)</f>
        <v/>
      </c>
      <c r="M207" s="21">
        <f>ABS(D207)</f>
        <v/>
      </c>
      <c r="N207" s="22">
        <f>(C207-AVERAGE(C$4:C$213))/STDEVP(C$4:C$213)</f>
        <v/>
      </c>
      <c r="O207" s="23">
        <f>L207/MEDIAN(L$4:L$213)</f>
        <v/>
      </c>
      <c r="P207" s="24">
        <f>IF(N207&gt;=요약!$C$5,"대량매수",IF(N207&lt;=-요약!$C$5,"대량매도",""))</f>
        <v/>
      </c>
      <c r="Q207" s="22">
        <f>(D207-AVERAGE(D$4:D$213))/STDEVP(D$4:D$213)</f>
        <v/>
      </c>
      <c r="R207" s="23">
        <f>M207/MEDIAN(M$4:M$213)</f>
        <v/>
      </c>
      <c r="S207" s="24">
        <f>IF(Q207&gt;=요약!$C$5,"대량매수",IF(Q207&lt;=-요약!$C$5,"대량매도",""))</f>
        <v/>
      </c>
    </row>
    <row r="208">
      <c r="A208" s="19" t="n">
        <v>45992</v>
      </c>
      <c r="B208" s="20" t="n">
        <v>-1752</v>
      </c>
      <c r="C208" s="20" t="n">
        <v>-1500</v>
      </c>
      <c r="D208" s="20" t="n">
        <v>3520</v>
      </c>
      <c r="E208" s="20" t="n">
        <v>1570</v>
      </c>
      <c r="F208" s="20" t="n">
        <v>74</v>
      </c>
      <c r="G208" s="20" t="n">
        <v>1297</v>
      </c>
      <c r="H208" s="20" t="n">
        <v>-6</v>
      </c>
      <c r="I208" s="20" t="n">
        <v>-53</v>
      </c>
      <c r="J208" s="20" t="n">
        <v>638</v>
      </c>
      <c r="K208" s="20" t="n">
        <v>-268</v>
      </c>
      <c r="L208" s="21">
        <f>ABS(C208)</f>
        <v/>
      </c>
      <c r="M208" s="21">
        <f>ABS(D208)</f>
        <v/>
      </c>
      <c r="N208" s="22">
        <f>(C208-AVERAGE(C$4:C$213))/STDEVP(C$4:C$213)</f>
        <v/>
      </c>
      <c r="O208" s="23">
        <f>L208/MEDIAN(L$4:L$213)</f>
        <v/>
      </c>
      <c r="P208" s="24">
        <f>IF(N208&gt;=요약!$C$5,"대량매수",IF(N208&lt;=-요약!$C$5,"대량매도",""))</f>
        <v/>
      </c>
      <c r="Q208" s="22">
        <f>(D208-AVERAGE(D$4:D$213))/STDEVP(D$4:D$213)</f>
        <v/>
      </c>
      <c r="R208" s="23">
        <f>M208/MEDIAN(M$4:M$213)</f>
        <v/>
      </c>
      <c r="S208" s="24">
        <f>IF(Q208&gt;=요약!$C$5,"대량매수",IF(Q208&lt;=-요약!$C$5,"대량매도",""))</f>
        <v/>
      </c>
    </row>
    <row r="209">
      <c r="A209" s="19" t="n">
        <v>45989</v>
      </c>
      <c r="B209" s="20" t="n">
        <v>-10444</v>
      </c>
      <c r="C209" s="20" t="n">
        <v>4885</v>
      </c>
      <c r="D209" s="20" t="n">
        <v>6030</v>
      </c>
      <c r="E209" s="20" t="n">
        <v>2460</v>
      </c>
      <c r="F209" s="20" t="n">
        <v>335</v>
      </c>
      <c r="G209" s="20" t="n">
        <v>2519</v>
      </c>
      <c r="H209" s="20" t="n">
        <v>1</v>
      </c>
      <c r="I209" s="20" t="n">
        <v>-104</v>
      </c>
      <c r="J209" s="20" t="n">
        <v>818</v>
      </c>
      <c r="K209" s="20" t="n">
        <v>-471</v>
      </c>
      <c r="L209" s="21">
        <f>ABS(C209)</f>
        <v/>
      </c>
      <c r="M209" s="21">
        <f>ABS(D209)</f>
        <v/>
      </c>
      <c r="N209" s="22">
        <f>(C209-AVERAGE(C$4:C$213))/STDEVP(C$4:C$213)</f>
        <v/>
      </c>
      <c r="O209" s="23">
        <f>L209/MEDIAN(L$4:L$213)</f>
        <v/>
      </c>
      <c r="P209" s="24">
        <f>IF(N209&gt;=요약!$C$5,"대량매수",IF(N209&lt;=-요약!$C$5,"대량매도",""))</f>
        <v/>
      </c>
      <c r="Q209" s="22">
        <f>(D209-AVERAGE(D$4:D$213))/STDEVP(D$4:D$213)</f>
        <v/>
      </c>
      <c r="R209" s="23">
        <f>M209/MEDIAN(M$4:M$213)</f>
        <v/>
      </c>
      <c r="S209" s="24">
        <f>IF(Q209&gt;=요약!$C$5,"대량매수",IF(Q209&lt;=-요약!$C$5,"대량매도",""))</f>
        <v/>
      </c>
    </row>
    <row r="210">
      <c r="A210" s="19" t="n">
        <v>45988</v>
      </c>
      <c r="B210" s="20" t="n">
        <v>1582</v>
      </c>
      <c r="C210" s="20" t="n">
        <v>-868</v>
      </c>
      <c r="D210" s="20" t="n">
        <v>-425</v>
      </c>
      <c r="E210" s="20" t="n">
        <v>-57</v>
      </c>
      <c r="F210" s="20" t="n">
        <v>33</v>
      </c>
      <c r="G210" s="20" t="n">
        <v>-184</v>
      </c>
      <c r="H210" s="20" t="n">
        <v>-3</v>
      </c>
      <c r="I210" s="20" t="n">
        <v>-63</v>
      </c>
      <c r="J210" s="20" t="n">
        <v>-151</v>
      </c>
      <c r="K210" s="20" t="n">
        <v>-288</v>
      </c>
      <c r="L210" s="21">
        <f>ABS(C210)</f>
        <v/>
      </c>
      <c r="M210" s="21">
        <f>ABS(D210)</f>
        <v/>
      </c>
      <c r="N210" s="22">
        <f>(C210-AVERAGE(C$4:C$213))/STDEVP(C$4:C$213)</f>
        <v/>
      </c>
      <c r="O210" s="23">
        <f>L210/MEDIAN(L$4:L$213)</f>
        <v/>
      </c>
      <c r="P210" s="24">
        <f>IF(N210&gt;=요약!$C$5,"대량매수",IF(N210&lt;=-요약!$C$5,"대량매도",""))</f>
        <v/>
      </c>
      <c r="Q210" s="22">
        <f>(D210-AVERAGE(D$4:D$213))/STDEVP(D$4:D$213)</f>
        <v/>
      </c>
      <c r="R210" s="23">
        <f>M210/MEDIAN(M$4:M$213)</f>
        <v/>
      </c>
      <c r="S210" s="24">
        <f>IF(Q210&gt;=요약!$C$5,"대량매수",IF(Q210&lt;=-요약!$C$5,"대량매도",""))</f>
        <v/>
      </c>
    </row>
    <row r="211">
      <c r="A211" s="19" t="n">
        <v>45987</v>
      </c>
      <c r="B211" s="20" t="n">
        <v>-2733</v>
      </c>
      <c r="C211" s="20" t="n">
        <v>2096</v>
      </c>
      <c r="D211" s="20" t="n">
        <v>868</v>
      </c>
      <c r="E211" s="20" t="n">
        <v>434</v>
      </c>
      <c r="F211" s="20" t="n">
        <v>43</v>
      </c>
      <c r="G211" s="20" t="n">
        <v>220</v>
      </c>
      <c r="H211" s="20" t="n">
        <v>0</v>
      </c>
      <c r="I211" s="20" t="n">
        <v>-76</v>
      </c>
      <c r="J211" s="20" t="n">
        <v>247</v>
      </c>
      <c r="K211" s="20" t="n">
        <v>-232</v>
      </c>
      <c r="L211" s="21">
        <f>ABS(C211)</f>
        <v/>
      </c>
      <c r="M211" s="21">
        <f>ABS(D211)</f>
        <v/>
      </c>
      <c r="N211" s="22">
        <f>(C211-AVERAGE(C$4:C$213))/STDEVP(C$4:C$213)</f>
        <v/>
      </c>
      <c r="O211" s="23">
        <f>L211/MEDIAN(L$4:L$213)</f>
        <v/>
      </c>
      <c r="P211" s="24">
        <f>IF(N211&gt;=요약!$C$5,"대량매수",IF(N211&lt;=-요약!$C$5,"대량매도",""))</f>
        <v/>
      </c>
      <c r="Q211" s="22">
        <f>(D211-AVERAGE(D$4:D$213))/STDEVP(D$4:D$213)</f>
        <v/>
      </c>
      <c r="R211" s="23">
        <f>M211/MEDIAN(M$4:M$213)</f>
        <v/>
      </c>
      <c r="S211" s="24">
        <f>IF(Q211&gt;=요약!$C$5,"대량매수",IF(Q211&lt;=-요약!$C$5,"대량매도",""))</f>
        <v/>
      </c>
    </row>
    <row r="212">
      <c r="A212" s="19" t="n">
        <v>45986</v>
      </c>
      <c r="B212" s="20" t="n">
        <v>-722</v>
      </c>
      <c r="C212" s="20" t="n">
        <v>1107</v>
      </c>
      <c r="D212" s="20" t="n">
        <v>-27</v>
      </c>
      <c r="E212" s="20" t="n">
        <v>-22</v>
      </c>
      <c r="F212" s="20" t="n">
        <v>-4</v>
      </c>
      <c r="G212" s="20" t="n">
        <v>-140</v>
      </c>
      <c r="H212" s="20" t="n">
        <v>-5</v>
      </c>
      <c r="I212" s="20" t="n">
        <v>-192</v>
      </c>
      <c r="J212" s="20" t="n">
        <v>338</v>
      </c>
      <c r="K212" s="20" t="n">
        <v>-359</v>
      </c>
      <c r="L212" s="21">
        <f>ABS(C212)</f>
        <v/>
      </c>
      <c r="M212" s="21">
        <f>ABS(D212)</f>
        <v/>
      </c>
      <c r="N212" s="22">
        <f>(C212-AVERAGE(C$4:C$213))/STDEVP(C$4:C$213)</f>
        <v/>
      </c>
      <c r="O212" s="23">
        <f>L212/MEDIAN(L$4:L$213)</f>
        <v/>
      </c>
      <c r="P212" s="24">
        <f>IF(N212&gt;=요약!$C$5,"대량매수",IF(N212&lt;=-요약!$C$5,"대량매도",""))</f>
        <v/>
      </c>
      <c r="Q212" s="22">
        <f>(D212-AVERAGE(D$4:D$213))/STDEVP(D$4:D$213)</f>
        <v/>
      </c>
      <c r="R212" s="23">
        <f>M212/MEDIAN(M$4:M$213)</f>
        <v/>
      </c>
      <c r="S212" s="24">
        <f>IF(Q212&gt;=요약!$C$5,"대량매수",IF(Q212&lt;=-요약!$C$5,"대량매도",""))</f>
        <v/>
      </c>
    </row>
    <row r="213">
      <c r="A213" s="19" t="n">
        <v>45985</v>
      </c>
      <c r="B213" s="20" t="n">
        <v>635</v>
      </c>
      <c r="C213" s="20" t="n">
        <v>-393</v>
      </c>
      <c r="D213" s="20" t="n">
        <v>-308</v>
      </c>
      <c r="E213" s="20" t="n">
        <v>447</v>
      </c>
      <c r="F213" s="20" t="n">
        <v>-2</v>
      </c>
      <c r="G213" s="20" t="n">
        <v>-695</v>
      </c>
      <c r="H213" s="20" t="n">
        <v>-6</v>
      </c>
      <c r="I213" s="20" t="n">
        <v>-47</v>
      </c>
      <c r="J213" s="20" t="n">
        <v>-5</v>
      </c>
      <c r="K213" s="20" t="n">
        <v>66</v>
      </c>
      <c r="L213" s="21">
        <f>ABS(C213)</f>
        <v/>
      </c>
      <c r="M213" s="21">
        <f>ABS(D213)</f>
        <v/>
      </c>
      <c r="N213" s="22">
        <f>(C213-AVERAGE(C$4:C$213))/STDEVP(C$4:C$213)</f>
        <v/>
      </c>
      <c r="O213" s="23">
        <f>L213/MEDIAN(L$4:L$213)</f>
        <v/>
      </c>
      <c r="P213" s="24">
        <f>IF(N213&gt;=요약!$C$5,"대량매수",IF(N213&lt;=-요약!$C$5,"대량매도",""))</f>
        <v/>
      </c>
      <c r="Q213" s="22">
        <f>(D213-AVERAGE(D$4:D$213))/STDEVP(D$4:D$213)</f>
        <v/>
      </c>
      <c r="R213" s="23">
        <f>M213/MEDIAN(M$4:M$213)</f>
        <v/>
      </c>
      <c r="S213" s="24">
        <f>IF(Q213&gt;=요약!$C$5,"대량매수",IF(Q213&lt;=-요약!$C$5,"대량매도",""))</f>
        <v/>
      </c>
    </row>
  </sheetData>
  <autoFilter ref="A3:S213"/>
  <conditionalFormatting sqref="C4:C213">
    <cfRule type="expression" priority="1" dxfId="0">
      <formula>$P4="대량매수"</formula>
    </cfRule>
    <cfRule type="expression" priority="3" dxfId="1">
      <formula>$P4="대량매도"</formula>
    </cfRule>
  </conditionalFormatting>
  <conditionalFormatting sqref="P4:P213">
    <cfRule type="expression" priority="2" dxfId="0">
      <formula>P4="대량매수"</formula>
    </cfRule>
    <cfRule type="expression" priority="4" dxfId="1">
      <formula>P4="대량매도"</formula>
    </cfRule>
  </conditionalFormatting>
  <conditionalFormatting sqref="D4:D213">
    <cfRule type="expression" priority="5" dxfId="0">
      <formula>$S4="대량매수"</formula>
    </cfRule>
    <cfRule type="expression" priority="7" dxfId="1">
      <formula>$S4="대량매도"</formula>
    </cfRule>
  </conditionalFormatting>
  <conditionalFormatting sqref="S4:S213">
    <cfRule type="expression" priority="6" dxfId="0">
      <formula>S4="대량매수"</formula>
    </cfRule>
    <cfRule type="expression" priority="8" dxfId="1">
      <formula>S4="대량매도"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2026-10-02T09:01:52Z</dcterms:created>
  <dcterms:modified xsi:type="dcterms:W3CDTF">2026-10-02T09:01:52Z</dcterms:modified>
</cp:coreProperties>
</file>