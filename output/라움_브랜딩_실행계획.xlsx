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실행계획" sheetId="2" state="visible" r:id="rId2"/>
    <sheet name="간트차트" sheetId="3" state="visible" r:id="rId3"/>
    <sheet name="콘텐츠 캘린더" sheetId="4" state="visible" r:id="rId4"/>
    <sheet name="KPI" sheetId="5" state="visible" r:id="rId5"/>
    <sheet name="역할분담" sheetId="6" state="visible" r:id="rId6"/>
    <sheet name="예산" sheetId="7" state="visible" r:id="rId7"/>
    <sheet name="가정·주의" sheetId="8" state="visible" r:id="rId8"/>
  </sheets>
  <definedNames>
    <definedName name="_xlnm._FilterDatabase" localSheetId="1" hidden="1">'실행계획'!$A$4:$O$35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.mm"/>
    <numFmt numFmtId="166" formatCode="+0%;-0%;0%"/>
    <numFmt numFmtId="167" formatCode="#,##0;-#,##0;-"/>
  </numFmts>
  <fonts count="11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</font>
    <font>
      <name val="Arial"/>
      <color theme="1"/>
      <sz val="10"/>
    </font>
    <font>
      <name val="Arial"/>
      <b val="1"/>
      <color rgb="001F3864"/>
      <sz val="11"/>
    </font>
    <font>
      <name val="Arial"/>
      <sz val="10"/>
    </font>
    <font>
      <name val="Arial"/>
      <b val="1"/>
      <color rgb="001F3864"/>
      <sz val="9"/>
    </font>
    <font>
      <name val="Arial"/>
      <i val="1"/>
      <color rgb="00595959"/>
      <sz val="9"/>
    </font>
  </fonts>
  <fills count="1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2F6"/>
      </patternFill>
    </fill>
    <fill>
      <patternFill patternType="solid">
        <fgColor rgb="00EDEDED"/>
      </patternFill>
    </fill>
    <fill>
      <patternFill patternType="solid">
        <fgColor rgb="008EA9DB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9E7BC6"/>
      </patternFill>
    </fill>
    <fill>
      <patternFill patternType="solid">
        <fgColor rgb="007F7F7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8" fillId="2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6" fillId="2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7" fillId="0" borderId="0" pivotButton="0" quotePrefix="0" xfId="0"/>
    <xf numFmtId="9" fontId="6" fillId="0" borderId="1" applyAlignment="1" pivotButton="0" quotePrefix="0" xfId="0">
      <alignment vertical="center" wrapText="1"/>
    </xf>
    <xf numFmtId="0" fontId="8" fillId="0" borderId="0" pivotButton="0" quotePrefix="0" xfId="0"/>
    <xf numFmtId="0" fontId="6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165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9" fontId="6" fillId="0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7" borderId="1" applyAlignment="1" pivotButton="0" quotePrefix="0" xfId="0">
      <alignment vertical="center" wrapText="1"/>
    </xf>
    <xf numFmtId="166" fontId="6" fillId="0" borderId="1" applyAlignment="1" pivotButton="0" quotePrefix="0" xfId="0">
      <alignment vertical="center" wrapText="1"/>
    </xf>
    <xf numFmtId="0" fontId="10" fillId="0" borderId="0" pivotButton="0" quotePrefix="0" xfId="0"/>
    <xf numFmtId="167" fontId="6" fillId="2" borderId="1" applyAlignment="1" pivotButton="0" quotePrefix="0" xfId="0">
      <alignment vertical="center" wrapText="1"/>
    </xf>
    <xf numFmtId="0" fontId="3" fillId="17" borderId="1" pivotButton="0" quotePrefix="0" xfId="0"/>
    <xf numFmtId="167" fontId="3" fillId="17" borderId="1" applyAlignment="1" pivotButton="0" quotePrefix="0" xfId="0">
      <alignment horizontal="center"/>
    </xf>
    <xf numFmtId="0" fontId="3" fillId="17" borderId="1" applyAlignment="1" pivotButton="0" quotePrefix="0" xfId="0">
      <alignment horizontal="center"/>
    </xf>
  </cellXfs>
  <cellStyles count="1">
    <cellStyle name="Normal" xfId="0" builtinId="0" hidden="0"/>
  </cellStyles>
  <dxfs count="14">
    <dxf>
      <fill>
        <patternFill patternType="solid">
          <fgColor rgb="00C6EFCE"/>
        </patternFill>
      </fill>
    </dxf>
    <dxf>
      <fill>
        <patternFill patternType="solid">
          <fgColor rgb="00BDD7EE"/>
        </patternFill>
      </fill>
    </dxf>
    <dxf>
      <fill>
        <patternFill patternType="solid">
          <fgColor rgb="00F8CBAD"/>
        </patternFill>
      </fill>
    </dxf>
    <dxf>
      <font>
        <name val="Arial"/>
        <b val="1"/>
        <color rgb="00C00000"/>
      </font>
    </dxf>
    <dxf>
      <fill>
        <patternFill patternType="solid">
          <fgColor rgb="008EA9DB"/>
        </patternFill>
      </fill>
    </dxf>
    <dxf>
      <fill>
        <patternFill patternType="solid">
          <fgColor rgb="005B9BD5"/>
        </patternFill>
      </fill>
    </dxf>
    <dxf>
      <fill>
        <patternFill patternType="solid">
          <fgColor rgb="0070AD47"/>
        </patternFill>
      </fill>
    </dxf>
    <dxf>
      <fill>
        <patternFill patternType="solid">
          <fgColor rgb="00ED7D31"/>
        </patternFill>
      </fill>
    </dxf>
    <dxf>
      <fill>
        <patternFill patternType="solid">
          <fgColor rgb="00FFC000"/>
        </patternFill>
      </fill>
    </dxf>
    <dxf>
      <fill>
        <patternFill patternType="solid">
          <fgColor rgb="009E7BC6"/>
        </patternFill>
      </fill>
    </dxf>
    <dxf>
      <fill>
        <patternFill patternType="solid">
          <fgColor rgb="007F7F7F"/>
        </patternFill>
      </fill>
    </dxf>
    <dxf>
      <fill>
        <patternFill patternType="solid">
          <fgColor rgb="00F4B183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E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6" customWidth="1" min="3" max="3"/>
    <col width="10" customWidth="1" min="4" max="4"/>
    <col width="12" customWidth="1" min="5" max="5"/>
  </cols>
  <sheetData>
    <row r="1">
      <c r="A1" s="1" t="inlineStr">
        <is>
          <t>라움 브랜딩 실행계획 (12개월)</t>
        </is>
      </c>
    </row>
    <row r="2">
      <c r="A2" s="2" t="inlineStr">
        <is>
          <t>대행사 제안용 초안 · 작성 2026-10-02 · 노란 칸은 직접 입력</t>
        </is>
      </c>
    </row>
    <row r="4">
      <c r="A4" s="3" t="inlineStr">
        <is>
          <t>착수일(입력)</t>
        </is>
      </c>
      <c r="B4" s="4" t="n">
        <v>46388</v>
      </c>
      <c r="C4" s="5" t="inlineStr">
        <is>
          <t>← 바꾸면 간트차트 월 표시가 자동으로 바뀝니다</t>
        </is>
      </c>
      <c r="D4" s="5" t="n"/>
      <c r="E4" s="5" t="n"/>
    </row>
    <row r="5">
      <c r="A5" s="3" t="inlineStr">
        <is>
          <t>브랜드 콘셉트(안)</t>
        </is>
      </c>
      <c r="B5" s="5" t="inlineStr">
        <is>
          <t>호텔에서는 할 수 없는 웨딩 — 서울 한가운데의 유럽 고성</t>
        </is>
      </c>
      <c r="C5" s="5" t="n"/>
      <c r="D5" s="5" t="n"/>
      <c r="E5" s="5" t="n"/>
    </row>
    <row r="6">
      <c r="A6" s="3" t="inlineStr">
        <is>
          <t>목표</t>
        </is>
      </c>
      <c r="B6" s="5" t="inlineStr">
        <is>
          <t>① 브랜드 검색량 증가  ② 투어→계약 전환율 개선  ③ 평균 계약 단가 유지·상승(할인 의존 축소)</t>
        </is>
      </c>
      <c r="C6" s="5" t="n"/>
      <c r="D6" s="5" t="n"/>
      <c r="E6" s="5" t="n"/>
    </row>
    <row r="8">
      <c r="A8" s="6" t="inlineStr">
        <is>
          <t>단계</t>
        </is>
      </c>
      <c r="B8" s="6" t="inlineStr">
        <is>
          <t>목적</t>
        </is>
      </c>
      <c r="C8" s="6" t="inlineStr">
        <is>
          <t>기간</t>
        </is>
      </c>
      <c r="D8" s="6" t="inlineStr">
        <is>
          <t>과제 수</t>
        </is>
      </c>
      <c r="E8" s="6" t="inlineStr">
        <is>
          <t>상 우선 과제</t>
        </is>
      </c>
    </row>
    <row r="9">
      <c r="A9" s="7" t="inlineStr">
        <is>
          <t>P0 착수·진단</t>
        </is>
      </c>
      <c r="B9" s="8" t="inlineStr">
        <is>
          <t>현황 파악과 기준값 측정</t>
        </is>
      </c>
      <c r="C9" s="8">
        <f>"M"&amp;_xlfn.MINIFS('실행계획'!$I$5:$I$35,'실행계획'!$B$5:$B$35,A9)&amp;" ~ M"&amp;_xlfn.MAXIFS('실행계획'!$J$5:$J$35,'실행계획'!$B$5:$B$35,A9)</f>
        <v/>
      </c>
      <c r="D9" s="8">
        <f>COUNTIF('실행계획'!$B$5:$B$35,A9)</f>
        <v/>
      </c>
      <c r="E9" s="8">
        <f>COUNTIFS('실행계획'!$B$5:$B$35,A9,'실행계획'!$L$5:$L$35,"상")</f>
        <v/>
      </c>
    </row>
    <row r="10">
      <c r="A10" s="9" t="inlineStr">
        <is>
          <t>P1 브랜드 기초 정비</t>
        </is>
      </c>
      <c r="B10" s="8" t="inlineStr">
        <is>
          <t>명칭·채널 정리, 검색 노출 기반</t>
        </is>
      </c>
      <c r="C10" s="8">
        <f>"M"&amp;_xlfn.MINIFS('실행계획'!$I$5:$I$35,'실행계획'!$B$5:$B$35,A10)&amp;" ~ M"&amp;_xlfn.MAXIFS('실행계획'!$J$5:$J$35,'실행계획'!$B$5:$B$35,A10)</f>
        <v/>
      </c>
      <c r="D10" s="8">
        <f>COUNTIF('실행계획'!$B$5:$B$35,A10)</f>
        <v/>
      </c>
      <c r="E10" s="8">
        <f>COUNTIFS('실행계획'!$B$5:$B$35,A10,'실행계획'!$L$5:$L$35,"상")</f>
        <v/>
      </c>
    </row>
    <row r="11">
      <c r="A11" s="10" t="inlineStr">
        <is>
          <t>P2 콘셉트·비주얼</t>
        </is>
      </c>
      <c r="B11" s="8" t="inlineStr">
        <is>
          <t>브랜드 콘셉트와 비주얼 시스템</t>
        </is>
      </c>
      <c r="C11" s="8">
        <f>"M"&amp;_xlfn.MINIFS('실행계획'!$I$5:$I$35,'실행계획'!$B$5:$B$35,A11)&amp;" ~ M"&amp;_xlfn.MAXIFS('실행계획'!$J$5:$J$35,'실행계획'!$B$5:$B$35,A11)</f>
        <v/>
      </c>
      <c r="D11" s="8">
        <f>COUNTIF('실행계획'!$B$5:$B$35,A11)</f>
        <v/>
      </c>
      <c r="E11" s="8">
        <f>COUNTIFS('실행계획'!$B$5:$B$35,A11,'실행계획'!$L$5:$L$35,"상")</f>
        <v/>
      </c>
    </row>
    <row r="12">
      <c r="A12" s="11" t="inlineStr">
        <is>
          <t>P3 콘텐츠 운영</t>
        </is>
      </c>
      <c r="B12" s="8" t="inlineStr">
        <is>
          <t>인스타·유튜브·블로그 상시 운영</t>
        </is>
      </c>
      <c r="C12" s="8">
        <f>"M"&amp;_xlfn.MINIFS('실행계획'!$I$5:$I$35,'실행계획'!$B$5:$B$35,A12)&amp;" ~ M"&amp;_xlfn.MAXIFS('실행계획'!$J$5:$J$35,'실행계획'!$B$5:$B$35,A12)</f>
        <v/>
      </c>
      <c r="D12" s="8">
        <f>COUNTIF('실행계획'!$B$5:$B$35,A12)</f>
        <v/>
      </c>
      <c r="E12" s="8">
        <f>COUNTIFS('실행계획'!$B$5:$B$35,A12,'실행계획'!$L$5:$L$35,"상")</f>
        <v/>
      </c>
    </row>
    <row r="13">
      <c r="A13" s="12" t="inlineStr">
        <is>
          <t>P4 상품·경험 설계</t>
        </is>
      </c>
      <c r="B13" s="8" t="inlineStr">
        <is>
          <t>시그니처 패키지, 1:1 투어, 쇼케이스</t>
        </is>
      </c>
      <c r="C13" s="8">
        <f>"M"&amp;_xlfn.MINIFS('실행계획'!$I$5:$I$35,'실행계획'!$B$5:$B$35,A13)&amp;" ~ M"&amp;_xlfn.MAXIFS('실행계획'!$J$5:$J$35,'실행계획'!$B$5:$B$35,A13)</f>
        <v/>
      </c>
      <c r="D13" s="8">
        <f>COUNTIF('실행계획'!$B$5:$B$35,A13)</f>
        <v/>
      </c>
      <c r="E13" s="8">
        <f>COUNTIFS('실행계획'!$B$5:$B$35,A13,'실행계획'!$L$5:$L$35,"상")</f>
        <v/>
      </c>
    </row>
    <row r="14">
      <c r="A14" s="13" t="inlineStr">
        <is>
          <t>P5 노출 확장</t>
        </is>
      </c>
      <c r="B14" s="8" t="inlineStr">
        <is>
          <t>웨딩 외 행사·촬영·PR</t>
        </is>
      </c>
      <c r="C14" s="8">
        <f>"M"&amp;_xlfn.MINIFS('실행계획'!$I$5:$I$35,'실행계획'!$B$5:$B$35,A14)&amp;" ~ M"&amp;_xlfn.MAXIFS('실행계획'!$J$5:$J$35,'실행계획'!$B$5:$B$35,A14)</f>
        <v/>
      </c>
      <c r="D14" s="8">
        <f>COUNTIF('실행계획'!$B$5:$B$35,A14)</f>
        <v/>
      </c>
      <c r="E14" s="8">
        <f>COUNTIFS('실행계획'!$B$5:$B$35,A14,'실행계획'!$L$5:$L$35,"상")</f>
        <v/>
      </c>
    </row>
    <row r="15">
      <c r="A15" s="14" t="inlineStr">
        <is>
          <t>P6 성과 관리</t>
        </is>
      </c>
      <c r="B15" s="8" t="inlineStr">
        <is>
          <t>리포트·개선</t>
        </is>
      </c>
      <c r="C15" s="8">
        <f>"M"&amp;_xlfn.MINIFS('실행계획'!$I$5:$I$35,'실행계획'!$B$5:$B$35,A15)&amp;" ~ M"&amp;_xlfn.MAXIFS('실행계획'!$J$5:$J$35,'실행계획'!$B$5:$B$35,A15)</f>
        <v/>
      </c>
      <c r="D15" s="8">
        <f>COUNTIF('실행계획'!$B$5:$B$35,A15)</f>
        <v/>
      </c>
      <c r="E15" s="8">
        <f>COUNTIFS('실행계획'!$B$5:$B$35,A15,'실행계획'!$L$5:$L$35,"상")</f>
        <v/>
      </c>
    </row>
    <row r="16">
      <c r="A16" s="15" t="inlineStr">
        <is>
          <t>합계</t>
        </is>
      </c>
      <c r="B16" s="8" t="n"/>
      <c r="C16" s="8" t="n"/>
      <c r="D16" s="8">
        <f>SUM(D9:D15)</f>
        <v/>
      </c>
      <c r="E16" s="8">
        <f>SUM(E9:E15)</f>
        <v/>
      </c>
    </row>
    <row r="18">
      <c r="A18" s="16" t="inlineStr">
        <is>
          <t>진행 현황</t>
        </is>
      </c>
    </row>
    <row r="19">
      <c r="A19" s="8" t="inlineStr">
        <is>
          <t>예정</t>
        </is>
      </c>
      <c r="B19" s="8">
        <f>COUNTIF('실행계획'!$N$5:$N$35,A19)</f>
        <v/>
      </c>
    </row>
    <row r="20">
      <c r="A20" s="8" t="inlineStr">
        <is>
          <t>진행중</t>
        </is>
      </c>
      <c r="B20" s="8">
        <f>COUNTIF('실행계획'!$N$5:$N$35,A20)</f>
        <v/>
      </c>
    </row>
    <row r="21">
      <c r="A21" s="8" t="inlineStr">
        <is>
          <t>완료</t>
        </is>
      </c>
      <c r="B21" s="8">
        <f>COUNTIF('실행계획'!$N$5:$N$35,A21)</f>
        <v/>
      </c>
    </row>
    <row r="22">
      <c r="A22" s="8" t="inlineStr">
        <is>
          <t>보류</t>
        </is>
      </c>
      <c r="B22" s="8">
        <f>COUNTIF('실행계획'!$N$5:$N$35,A22)</f>
        <v/>
      </c>
    </row>
    <row r="23">
      <c r="A23" s="8" t="inlineStr">
        <is>
          <t>완료율</t>
        </is>
      </c>
      <c r="B23" s="17">
        <f>IF(D16=0,0,B21/D16)</f>
        <v/>
      </c>
    </row>
    <row r="25">
      <c r="A25" s="16" t="inlineStr">
        <is>
          <t>시트 안내</t>
        </is>
      </c>
    </row>
    <row r="26">
      <c r="A26" s="3" t="inlineStr">
        <is>
          <t>실행계획</t>
        </is>
      </c>
      <c r="B26" s="18" t="inlineStr">
        <is>
          <t>과제별 상세(담당·기간·산출물·KPI). 상태 칸을 드롭다운으로 바꾸면 개요에 반영</t>
        </is>
      </c>
    </row>
    <row r="27">
      <c r="A27" s="3" t="inlineStr">
        <is>
          <t>간트차트</t>
        </is>
      </c>
      <c r="B27" s="18" t="inlineStr">
        <is>
          <t>12개월 일정 한눈에 보기 (자동 색칠)</t>
        </is>
      </c>
    </row>
    <row r="28">
      <c r="A28" s="3" t="inlineStr">
        <is>
          <t>콘텐츠 캘린더</t>
        </is>
      </c>
      <c r="B28" s="18" t="inlineStr">
        <is>
          <t>월별 콘텐츠 주제와 발행 수</t>
        </is>
      </c>
    </row>
    <row r="29">
      <c r="A29" s="3" t="inlineStr">
        <is>
          <t>KPI</t>
        </is>
      </c>
      <c r="B29" s="18" t="inlineStr">
        <is>
          <t>지표 정의 + 기준값·목표 입력</t>
        </is>
      </c>
    </row>
    <row r="30">
      <c r="A30" s="3" t="inlineStr">
        <is>
          <t>역할분담</t>
        </is>
      </c>
      <c r="B30" s="18" t="inlineStr">
        <is>
          <t>대행사/라움 책임 구분(RACI)</t>
        </is>
      </c>
    </row>
    <row r="31">
      <c r="A31" s="3" t="inlineStr">
        <is>
          <t>예산</t>
        </is>
      </c>
      <c r="B31" s="18" t="inlineStr">
        <is>
          <t>안(기본/표준/확장)별 항목과 금액 입력</t>
        </is>
      </c>
    </row>
    <row r="32">
      <c r="A32" s="3" t="inlineStr">
        <is>
          <t>가정·주의</t>
        </is>
      </c>
      <c r="B32" s="18" t="inlineStr">
        <is>
          <t>근거와 한계</t>
        </is>
      </c>
    </row>
  </sheetData>
  <mergeCells count="3">
    <mergeCell ref="C4:E4"/>
    <mergeCell ref="B6:E6"/>
    <mergeCell ref="B5:E5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O35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9" customWidth="1" min="3" max="3"/>
    <col width="24" customWidth="1" min="4" max="4"/>
    <col width="52" customWidth="1" min="5" max="5"/>
    <col width="22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9" customWidth="1" min="12" max="12"/>
    <col width="18" customWidth="1" min="13" max="13"/>
    <col width="10" customWidth="1" min="14" max="14"/>
    <col width="20" customWidth="1" min="15" max="15"/>
  </cols>
  <sheetData>
    <row r="1">
      <c r="A1" s="1" t="inlineStr">
        <is>
          <t>실행계획 (WBS)</t>
        </is>
      </c>
    </row>
    <row r="2">
      <c r="A2" s="2" t="inlineStr">
        <is>
          <t>필터로 단계·담당·적용안별로 볼 수 있습니다 · 상태/비고는 직접 입력</t>
        </is>
      </c>
    </row>
    <row r="4">
      <c r="A4" s="6" t="inlineStr">
        <is>
          <t>ID</t>
        </is>
      </c>
      <c r="B4" s="6" t="inlineStr">
        <is>
          <t>단계</t>
        </is>
      </c>
      <c r="C4" s="6" t="inlineStr">
        <is>
          <t>영역</t>
        </is>
      </c>
      <c r="D4" s="6" t="inlineStr">
        <is>
          <t>과제</t>
        </is>
      </c>
      <c r="E4" s="6" t="inlineStr">
        <is>
          <t>세부 실행</t>
        </is>
      </c>
      <c r="F4" s="6" t="inlineStr">
        <is>
          <t>산출물</t>
        </is>
      </c>
      <c r="G4" s="6" t="inlineStr">
        <is>
          <t>담당</t>
        </is>
      </c>
      <c r="H4" s="6" t="inlineStr">
        <is>
          <t>적용안</t>
        </is>
      </c>
      <c r="I4" s="6" t="inlineStr">
        <is>
          <t>시작(M)</t>
        </is>
      </c>
      <c r="J4" s="6" t="inlineStr">
        <is>
          <t>종료(M)</t>
        </is>
      </c>
      <c r="K4" s="6" t="inlineStr">
        <is>
          <t>기간(개월)</t>
        </is>
      </c>
      <c r="L4" s="6" t="inlineStr">
        <is>
          <t>우선순위</t>
        </is>
      </c>
      <c r="M4" s="6" t="inlineStr">
        <is>
          <t>연결 KPI</t>
        </is>
      </c>
      <c r="N4" s="6" t="inlineStr">
        <is>
          <t>상태</t>
        </is>
      </c>
      <c r="O4" s="6" t="inlineStr">
        <is>
          <t>비고</t>
        </is>
      </c>
    </row>
    <row r="5">
      <c r="A5" s="19" t="inlineStr">
        <is>
          <t>T01</t>
        </is>
      </c>
      <c r="B5" s="7" t="inlineStr">
        <is>
          <t>P0 착수·진단</t>
        </is>
      </c>
      <c r="C5" s="8" t="inlineStr">
        <is>
          <t>공통</t>
        </is>
      </c>
      <c r="D5" s="15" t="inlineStr">
        <is>
          <t>킥오프 미팅</t>
        </is>
      </c>
      <c r="E5" s="8" t="inlineStr">
        <is>
          <t>목표·예산·의사결정 라인·보고 주기 합의, 내부 자료(문의·계약 데이터) 요청</t>
        </is>
      </c>
      <c r="F5" s="8" t="inlineStr">
        <is>
          <t>킥오프 회의록</t>
        </is>
      </c>
      <c r="G5" s="19" t="inlineStr">
        <is>
          <t>공동</t>
        </is>
      </c>
      <c r="H5" s="19" t="inlineStr">
        <is>
          <t>기본</t>
        </is>
      </c>
      <c r="I5" s="19" t="n">
        <v>1</v>
      </c>
      <c r="J5" s="19" t="n">
        <v>1</v>
      </c>
      <c r="K5" s="19">
        <f>J5-I5+1</f>
        <v/>
      </c>
      <c r="L5" s="19" t="inlineStr">
        <is>
          <t>상</t>
        </is>
      </c>
      <c r="M5" s="8" t="inlineStr">
        <is>
          <t>전체</t>
        </is>
      </c>
      <c r="N5" s="20" t="inlineStr">
        <is>
          <t>예정</t>
        </is>
      </c>
      <c r="O5" s="12" t="inlineStr"/>
    </row>
    <row r="6">
      <c r="A6" s="19" t="inlineStr">
        <is>
          <t>T02</t>
        </is>
      </c>
      <c r="B6" s="7" t="inlineStr">
        <is>
          <t>P0 착수·진단</t>
        </is>
      </c>
      <c r="C6" s="8" t="inlineStr">
        <is>
          <t>분석</t>
        </is>
      </c>
      <c r="D6" s="15" t="inlineStr">
        <is>
          <t>채널 현황 진단</t>
        </is>
      </c>
      <c r="E6" s="8" t="inlineStr">
        <is>
          <t>네이버 플레이스·블로그, 인스타, 유튜브, 웨딩 플랫폼별 표기·리뷰·게시 빈도 점검</t>
        </is>
      </c>
      <c r="F6" s="8" t="inlineStr">
        <is>
          <t>채널 진단 리포트</t>
        </is>
      </c>
      <c r="G6" s="19" t="inlineStr">
        <is>
          <t>대행사</t>
        </is>
      </c>
      <c r="H6" s="19" t="inlineStr">
        <is>
          <t>기본</t>
        </is>
      </c>
      <c r="I6" s="19" t="n">
        <v>1</v>
      </c>
      <c r="J6" s="19" t="n">
        <v>1</v>
      </c>
      <c r="K6" s="19">
        <f>J6-I6+1</f>
        <v/>
      </c>
      <c r="L6" s="19" t="inlineStr">
        <is>
          <t>상</t>
        </is>
      </c>
      <c r="M6" s="8" t="inlineStr">
        <is>
          <t>브랜드 검색량</t>
        </is>
      </c>
      <c r="N6" s="20" t="inlineStr">
        <is>
          <t>예정</t>
        </is>
      </c>
      <c r="O6" s="12" t="inlineStr"/>
    </row>
    <row r="7">
      <c r="A7" s="19" t="inlineStr">
        <is>
          <t>T03</t>
        </is>
      </c>
      <c r="B7" s="7" t="inlineStr">
        <is>
          <t>P0 착수·진단</t>
        </is>
      </c>
      <c r="C7" s="8" t="inlineStr">
        <is>
          <t>분석</t>
        </is>
      </c>
      <c r="D7" s="15" t="inlineStr">
        <is>
          <t>경쟁사 벤치마크</t>
        </is>
      </c>
      <c r="E7" s="8" t="inlineStr">
        <is>
          <t>특급호텔 2곳 + 강남 고급 웨딩홀 2곳 채널·메시지·가격 포지션 비교</t>
        </is>
      </c>
      <c r="F7" s="8" t="inlineStr">
        <is>
          <t>경쟁 비교표</t>
        </is>
      </c>
      <c r="G7" s="19" t="inlineStr">
        <is>
          <t>대행사</t>
        </is>
      </c>
      <c r="H7" s="19" t="inlineStr">
        <is>
          <t>기본</t>
        </is>
      </c>
      <c r="I7" s="19" t="n">
        <v>1</v>
      </c>
      <c r="J7" s="19" t="n">
        <v>1</v>
      </c>
      <c r="K7" s="19">
        <f>J7-I7+1</f>
        <v/>
      </c>
      <c r="L7" s="19" t="inlineStr">
        <is>
          <t>상</t>
        </is>
      </c>
      <c r="M7" s="8" t="inlineStr">
        <is>
          <t>-</t>
        </is>
      </c>
      <c r="N7" s="20" t="inlineStr">
        <is>
          <t>예정</t>
        </is>
      </c>
      <c r="O7" s="12" t="inlineStr"/>
    </row>
    <row r="8">
      <c r="A8" s="19" t="inlineStr">
        <is>
          <t>T04</t>
        </is>
      </c>
      <c r="B8" s="7" t="inlineStr">
        <is>
          <t>P0 착수·진단</t>
        </is>
      </c>
      <c r="C8" s="8" t="inlineStr">
        <is>
          <t>분석</t>
        </is>
      </c>
      <c r="D8" s="15" t="inlineStr">
        <is>
          <t>고객 인사이트 조사</t>
        </is>
      </c>
      <c r="E8" s="8" t="inlineStr">
        <is>
          <t>최근 계약·미계약 고객 인터뷰 5~10건, 리뷰 키워드 분석</t>
        </is>
      </c>
      <c r="F8" s="8" t="inlineStr">
        <is>
          <t>인사이트 리포트</t>
        </is>
      </c>
      <c r="G8" s="19" t="inlineStr">
        <is>
          <t>공동</t>
        </is>
      </c>
      <c r="H8" s="19" t="inlineStr">
        <is>
          <t>표준</t>
        </is>
      </c>
      <c r="I8" s="19" t="n">
        <v>1</v>
      </c>
      <c r="J8" s="19" t="n">
        <v>2</v>
      </c>
      <c r="K8" s="19">
        <f>J8-I8+1</f>
        <v/>
      </c>
      <c r="L8" s="19" t="inlineStr">
        <is>
          <t>중</t>
        </is>
      </c>
      <c r="M8" s="8" t="inlineStr">
        <is>
          <t>투어→계약 전환율</t>
        </is>
      </c>
      <c r="N8" s="20" t="inlineStr">
        <is>
          <t>예정</t>
        </is>
      </c>
      <c r="O8" s="12" t="inlineStr"/>
    </row>
    <row r="9">
      <c r="A9" s="19" t="inlineStr">
        <is>
          <t>T05</t>
        </is>
      </c>
      <c r="B9" s="7" t="inlineStr">
        <is>
          <t>P0 착수·진단</t>
        </is>
      </c>
      <c r="C9" s="8" t="inlineStr">
        <is>
          <t>측정</t>
        </is>
      </c>
      <c r="D9" s="15" t="inlineStr">
        <is>
          <t>KPI 기준값 측정</t>
        </is>
      </c>
      <c r="E9" s="8" t="inlineStr">
        <is>
          <t>검색량·전환율·평균 단가·할인율 현재값 기록 (KPI 시트 입력)</t>
        </is>
      </c>
      <c r="F9" s="8" t="inlineStr">
        <is>
          <t>KPI 기준값표</t>
        </is>
      </c>
      <c r="G9" s="19" t="inlineStr">
        <is>
          <t>공동</t>
        </is>
      </c>
      <c r="H9" s="19" t="inlineStr">
        <is>
          <t>기본</t>
        </is>
      </c>
      <c r="I9" s="19" t="n">
        <v>1</v>
      </c>
      <c r="J9" s="19" t="n">
        <v>1</v>
      </c>
      <c r="K9" s="19">
        <f>J9-I9+1</f>
        <v/>
      </c>
      <c r="L9" s="19" t="inlineStr">
        <is>
          <t>상</t>
        </is>
      </c>
      <c r="M9" s="8" t="inlineStr">
        <is>
          <t>전체</t>
        </is>
      </c>
      <c r="N9" s="20" t="inlineStr">
        <is>
          <t>예정</t>
        </is>
      </c>
      <c r="O9" s="12" t="inlineStr"/>
    </row>
    <row r="10">
      <c r="A10" s="19" t="inlineStr">
        <is>
          <t>T06</t>
        </is>
      </c>
      <c r="B10" s="9" t="inlineStr">
        <is>
          <t>P1 브랜드 기초 정비</t>
        </is>
      </c>
      <c r="C10" s="8" t="inlineStr">
        <is>
          <t>브랜드</t>
        </is>
      </c>
      <c r="D10" s="15" t="inlineStr">
        <is>
          <t>공식 명칭 확정</t>
        </is>
      </c>
      <c r="E10" s="8" t="inlineStr">
        <is>
          <t>라움아트센터/소셜베뉴 라움/더라움 중 1개 확정 (라움 의사결정 필요)</t>
        </is>
      </c>
      <c r="F10" s="8" t="inlineStr">
        <is>
          <t>명칭 가이드</t>
        </is>
      </c>
      <c r="G10" s="19" t="inlineStr">
        <is>
          <t>라움</t>
        </is>
      </c>
      <c r="H10" s="19" t="inlineStr">
        <is>
          <t>기본</t>
        </is>
      </c>
      <c r="I10" s="19" t="n">
        <v>1</v>
      </c>
      <c r="J10" s="19" t="n">
        <v>1</v>
      </c>
      <c r="K10" s="19">
        <f>J10-I10+1</f>
        <v/>
      </c>
      <c r="L10" s="19" t="inlineStr">
        <is>
          <t>상</t>
        </is>
      </c>
      <c r="M10" s="8" t="inlineStr">
        <is>
          <t>브랜드 검색량</t>
        </is>
      </c>
      <c r="N10" s="20" t="inlineStr">
        <is>
          <t>예정</t>
        </is>
      </c>
      <c r="O10" s="12" t="inlineStr"/>
    </row>
    <row r="11">
      <c r="A11" s="19" t="inlineStr">
        <is>
          <t>T07</t>
        </is>
      </c>
      <c r="B11" s="9" t="inlineStr">
        <is>
          <t>P1 브랜드 기초 정비</t>
        </is>
      </c>
      <c r="C11" s="8" t="inlineStr">
        <is>
          <t>채널</t>
        </is>
      </c>
      <c r="D11" s="15" t="inlineStr">
        <is>
          <t>네이버 플레이스 최적화</t>
        </is>
      </c>
      <c r="E11" s="8" t="inlineStr">
        <is>
          <t>명칭·사진·소개문·예약 링크·FAQ 정비, 리뷰 답글 정책 수립</t>
        </is>
      </c>
      <c r="F11" s="8" t="inlineStr">
        <is>
          <t>플레이스 정비 완료</t>
        </is>
      </c>
      <c r="G11" s="19" t="inlineStr">
        <is>
          <t>대행사</t>
        </is>
      </c>
      <c r="H11" s="19" t="inlineStr">
        <is>
          <t>기본</t>
        </is>
      </c>
      <c r="I11" s="19" t="n">
        <v>1</v>
      </c>
      <c r="J11" s="19" t="n">
        <v>2</v>
      </c>
      <c r="K11" s="19">
        <f>J11-I11+1</f>
        <v/>
      </c>
      <c r="L11" s="19" t="inlineStr">
        <is>
          <t>상</t>
        </is>
      </c>
      <c r="M11" s="8" t="inlineStr">
        <is>
          <t>플레이스 리뷰·평점</t>
        </is>
      </c>
      <c r="N11" s="20" t="inlineStr">
        <is>
          <t>예정</t>
        </is>
      </c>
      <c r="O11" s="12" t="inlineStr"/>
    </row>
    <row r="12">
      <c r="A12" s="19" t="inlineStr">
        <is>
          <t>T08</t>
        </is>
      </c>
      <c r="B12" s="9" t="inlineStr">
        <is>
          <t>P1 브랜드 기초 정비</t>
        </is>
      </c>
      <c r="C12" s="8" t="inlineStr">
        <is>
          <t>채널</t>
        </is>
      </c>
      <c r="D12" s="15" t="inlineStr">
        <is>
          <t>웨딩 플랫폼 정보 통일</t>
        </is>
      </c>
      <c r="E12" s="8" t="inlineStr">
        <is>
          <t>다이렉트결혼준비·웨딩북 등 입점 정보·사진·가격 안내 통일</t>
        </is>
      </c>
      <c r="F12" s="8" t="inlineStr">
        <is>
          <t>플랫폼 정비 체크리스트</t>
        </is>
      </c>
      <c r="G12" s="19" t="inlineStr">
        <is>
          <t>공동</t>
        </is>
      </c>
      <c r="H12" s="19" t="inlineStr">
        <is>
          <t>기본</t>
        </is>
      </c>
      <c r="I12" s="19" t="n">
        <v>1</v>
      </c>
      <c r="J12" s="19" t="n">
        <v>2</v>
      </c>
      <c r="K12" s="19">
        <f>J12-I12+1</f>
        <v/>
      </c>
      <c r="L12" s="19" t="inlineStr">
        <is>
          <t>상</t>
        </is>
      </c>
      <c r="M12" s="8" t="inlineStr">
        <is>
          <t>투어 예약 수</t>
        </is>
      </c>
      <c r="N12" s="20" t="inlineStr">
        <is>
          <t>예정</t>
        </is>
      </c>
      <c r="O12" s="12" t="inlineStr"/>
    </row>
    <row r="13">
      <c r="A13" s="19" t="inlineStr">
        <is>
          <t>T09</t>
        </is>
      </c>
      <c r="B13" s="9" t="inlineStr">
        <is>
          <t>P1 브랜드 기초 정비</t>
        </is>
      </c>
      <c r="C13" s="8" t="inlineStr">
        <is>
          <t>채널</t>
        </is>
      </c>
      <c r="D13" s="15" t="inlineStr">
        <is>
          <t>공식 홈페이지 개선</t>
        </is>
      </c>
      <c r="E13" s="8" t="inlineStr">
        <is>
          <t>모바일 투어 예약 동선, 홀별 상세, 문의 폼 추적 설정</t>
        </is>
      </c>
      <c r="F13" s="8" t="inlineStr">
        <is>
          <t>홈페이지 개선안</t>
        </is>
      </c>
      <c r="G13" s="19" t="inlineStr">
        <is>
          <t>대행사</t>
        </is>
      </c>
      <c r="H13" s="19" t="inlineStr">
        <is>
          <t>표준</t>
        </is>
      </c>
      <c r="I13" s="19" t="n">
        <v>2</v>
      </c>
      <c r="J13" s="19" t="n">
        <v>3</v>
      </c>
      <c r="K13" s="19">
        <f>J13-I13+1</f>
        <v/>
      </c>
      <c r="L13" s="19" t="inlineStr">
        <is>
          <t>중</t>
        </is>
      </c>
      <c r="M13" s="8" t="inlineStr">
        <is>
          <t>투어 예약 수</t>
        </is>
      </c>
      <c r="N13" s="20" t="inlineStr">
        <is>
          <t>예정</t>
        </is>
      </c>
      <c r="O13" s="12" t="inlineStr"/>
    </row>
    <row r="14">
      <c r="A14" s="19" t="inlineStr">
        <is>
          <t>T10</t>
        </is>
      </c>
      <c r="B14" s="9" t="inlineStr">
        <is>
          <t>P1 브랜드 기초 정비</t>
        </is>
      </c>
      <c r="C14" s="8" t="inlineStr">
        <is>
          <t>측정</t>
        </is>
      </c>
      <c r="D14" s="15" t="inlineStr">
        <is>
          <t>측정 환경 세팅</t>
        </is>
      </c>
      <c r="E14" s="8" t="inlineStr">
        <is>
          <t>문의 경로 태깅(UTM), 문의→투어→계약 관리 시트 구축</t>
        </is>
      </c>
      <c r="F14" s="8" t="inlineStr">
        <is>
          <t>트래킹 시트</t>
        </is>
      </c>
      <c r="G14" s="19" t="inlineStr">
        <is>
          <t>공동</t>
        </is>
      </c>
      <c r="H14" s="19" t="inlineStr">
        <is>
          <t>기본</t>
        </is>
      </c>
      <c r="I14" s="19" t="n">
        <v>1</v>
      </c>
      <c r="J14" s="19" t="n">
        <v>2</v>
      </c>
      <c r="K14" s="19">
        <f>J14-I14+1</f>
        <v/>
      </c>
      <c r="L14" s="19" t="inlineStr">
        <is>
          <t>상</t>
        </is>
      </c>
      <c r="M14" s="8" t="inlineStr">
        <is>
          <t>투어→계약 전환율</t>
        </is>
      </c>
      <c r="N14" s="20" t="inlineStr">
        <is>
          <t>예정</t>
        </is>
      </c>
      <c r="O14" s="12" t="inlineStr"/>
    </row>
    <row r="15">
      <c r="A15" s="19" t="inlineStr">
        <is>
          <t>T11</t>
        </is>
      </c>
      <c r="B15" s="10" t="inlineStr">
        <is>
          <t>P2 콘셉트·비주얼</t>
        </is>
      </c>
      <c r="C15" s="8" t="inlineStr">
        <is>
          <t>브랜드</t>
        </is>
      </c>
      <c r="D15" s="15" t="inlineStr">
        <is>
          <t>브랜드 콘셉트 수립</t>
        </is>
      </c>
      <c r="E15" s="8" t="inlineStr">
        <is>
          <t>핵심 메시지 1문장 + 보조 메시지 3개 (예: 호텔에서는 할 수 없는 웨딩)</t>
        </is>
      </c>
      <c r="F15" s="8" t="inlineStr">
        <is>
          <t>브랜드 북(메시지)</t>
        </is>
      </c>
      <c r="G15" s="19" t="inlineStr">
        <is>
          <t>대행사</t>
        </is>
      </c>
      <c r="H15" s="19" t="inlineStr">
        <is>
          <t>표준</t>
        </is>
      </c>
      <c r="I15" s="19" t="n">
        <v>2</v>
      </c>
      <c r="J15" s="19" t="n">
        <v>3</v>
      </c>
      <c r="K15" s="19">
        <f>J15-I15+1</f>
        <v/>
      </c>
      <c r="L15" s="19" t="inlineStr">
        <is>
          <t>상</t>
        </is>
      </c>
      <c r="M15" s="8" t="inlineStr">
        <is>
          <t>-</t>
        </is>
      </c>
      <c r="N15" s="20" t="inlineStr">
        <is>
          <t>예정</t>
        </is>
      </c>
      <c r="O15" s="12" t="inlineStr"/>
    </row>
    <row r="16">
      <c r="A16" s="19" t="inlineStr">
        <is>
          <t>T12</t>
        </is>
      </c>
      <c r="B16" s="10" t="inlineStr">
        <is>
          <t>P2 콘셉트·비주얼</t>
        </is>
      </c>
      <c r="C16" s="8" t="inlineStr">
        <is>
          <t>브랜드</t>
        </is>
      </c>
      <c r="D16" s="15" t="inlineStr">
        <is>
          <t>비주얼 가이드</t>
        </is>
      </c>
      <c r="E16" s="8" t="inlineStr">
        <is>
          <t>사진 톤·컬러·폰트·로고 사용 규칙</t>
        </is>
      </c>
      <c r="F16" s="8" t="inlineStr">
        <is>
          <t>비주얼 가이드</t>
        </is>
      </c>
      <c r="G16" s="19" t="inlineStr">
        <is>
          <t>대행사</t>
        </is>
      </c>
      <c r="H16" s="19" t="inlineStr">
        <is>
          <t>표준</t>
        </is>
      </c>
      <c r="I16" s="19" t="n">
        <v>2</v>
      </c>
      <c r="J16" s="19" t="n">
        <v>4</v>
      </c>
      <c r="K16" s="19">
        <f>J16-I16+1</f>
        <v/>
      </c>
      <c r="L16" s="19" t="inlineStr">
        <is>
          <t>상</t>
        </is>
      </c>
      <c r="M16" s="8" t="inlineStr">
        <is>
          <t>-</t>
        </is>
      </c>
      <c r="N16" s="20" t="inlineStr">
        <is>
          <t>예정</t>
        </is>
      </c>
      <c r="O16" s="12" t="inlineStr"/>
    </row>
    <row r="17">
      <c r="A17" s="19" t="inlineStr">
        <is>
          <t>T13</t>
        </is>
      </c>
      <c r="B17" s="10" t="inlineStr">
        <is>
          <t>P2 콘셉트·비주얼</t>
        </is>
      </c>
      <c r="C17" s="8" t="inlineStr">
        <is>
          <t>촬영</t>
        </is>
      </c>
      <c r="D17" s="15" t="inlineStr">
        <is>
          <t>브랜드 화보 촬영</t>
        </is>
      </c>
      <c r="E17" s="8" t="inlineStr">
        <is>
          <t>체임버홀·마제스틱 볼룸·그라스 가든(주간/야간) 공식 사진·영상 촬영</t>
        </is>
      </c>
      <c r="F17" s="8" t="inlineStr">
        <is>
          <t>사진 80컷+, 영상 소스</t>
        </is>
      </c>
      <c r="G17" s="19" t="inlineStr">
        <is>
          <t>공동</t>
        </is>
      </c>
      <c r="H17" s="19" t="inlineStr">
        <is>
          <t>표준</t>
        </is>
      </c>
      <c r="I17" s="19" t="n">
        <v>3</v>
      </c>
      <c r="J17" s="19" t="n">
        <v>4</v>
      </c>
      <c r="K17" s="19">
        <f>J17-I17+1</f>
        <v/>
      </c>
      <c r="L17" s="19" t="inlineStr">
        <is>
          <t>상</t>
        </is>
      </c>
      <c r="M17" s="8" t="inlineStr">
        <is>
          <t>인스타 도달</t>
        </is>
      </c>
      <c r="N17" s="20" t="inlineStr">
        <is>
          <t>예정</t>
        </is>
      </c>
      <c r="O17" s="12" t="inlineStr"/>
    </row>
    <row r="18">
      <c r="A18" s="19" t="inlineStr">
        <is>
          <t>T14</t>
        </is>
      </c>
      <c r="B18" s="10" t="inlineStr">
        <is>
          <t>P2 콘셉트·비주얼</t>
        </is>
      </c>
      <c r="C18" s="8" t="inlineStr">
        <is>
          <t>촬영</t>
        </is>
      </c>
      <c r="D18" s="15" t="inlineStr">
        <is>
          <t>브랜드 필름 제작</t>
        </is>
      </c>
      <c r="E18" s="8" t="inlineStr">
        <is>
          <t>1~2분 메인 필름 + 15초 숏폼 컷다운</t>
        </is>
      </c>
      <c r="F18" s="8" t="inlineStr">
        <is>
          <t>브랜드 필름</t>
        </is>
      </c>
      <c r="G18" s="19" t="inlineStr">
        <is>
          <t>대행사</t>
        </is>
      </c>
      <c r="H18" s="19" t="inlineStr">
        <is>
          <t>확장</t>
        </is>
      </c>
      <c r="I18" s="19" t="n">
        <v>3</v>
      </c>
      <c r="J18" s="19" t="n">
        <v>4</v>
      </c>
      <c r="K18" s="19">
        <f>J18-I18+1</f>
        <v/>
      </c>
      <c r="L18" s="19" t="inlineStr">
        <is>
          <t>중</t>
        </is>
      </c>
      <c r="M18" s="8" t="inlineStr">
        <is>
          <t>유튜브 조회</t>
        </is>
      </c>
      <c r="N18" s="20" t="inlineStr">
        <is>
          <t>예정</t>
        </is>
      </c>
      <c r="O18" s="12" t="inlineStr"/>
    </row>
    <row r="19">
      <c r="A19" s="19" t="inlineStr">
        <is>
          <t>T15</t>
        </is>
      </c>
      <c r="B19" s="11" t="inlineStr">
        <is>
          <t>P3 콘텐츠 운영</t>
        </is>
      </c>
      <c r="C19" s="8" t="inlineStr">
        <is>
          <t>인스타</t>
        </is>
      </c>
      <c r="D19" s="15" t="inlineStr">
        <is>
          <t>인스타 정규 운영</t>
        </is>
      </c>
      <c r="E19" s="8" t="inlineStr">
        <is>
          <t>주 3회(릴스 2·피드 1), 층고·자연광·야경 중심</t>
        </is>
      </c>
      <c r="F19" s="8" t="inlineStr">
        <is>
          <t>월 12건</t>
        </is>
      </c>
      <c r="G19" s="19" t="inlineStr">
        <is>
          <t>대행사</t>
        </is>
      </c>
      <c r="H19" s="19" t="inlineStr">
        <is>
          <t>기본</t>
        </is>
      </c>
      <c r="I19" s="19" t="n">
        <v>3</v>
      </c>
      <c r="J19" s="19" t="n">
        <v>12</v>
      </c>
      <c r="K19" s="19">
        <f>J19-I19+1</f>
        <v/>
      </c>
      <c r="L19" s="19" t="inlineStr">
        <is>
          <t>상</t>
        </is>
      </c>
      <c r="M19" s="8" t="inlineStr">
        <is>
          <t>인스타 도달·저장</t>
        </is>
      </c>
      <c r="N19" s="20" t="inlineStr">
        <is>
          <t>예정</t>
        </is>
      </c>
      <c r="O19" s="12" t="inlineStr"/>
    </row>
    <row r="20">
      <c r="A20" s="19" t="inlineStr">
        <is>
          <t>T16</t>
        </is>
      </c>
      <c r="B20" s="11" t="inlineStr">
        <is>
          <t>P3 콘텐츠 운영</t>
        </is>
      </c>
      <c r="C20" s="8" t="inlineStr">
        <is>
          <t>인스타</t>
        </is>
      </c>
      <c r="D20" s="15" t="inlineStr">
        <is>
          <t>건축 비하인드 시리즈</t>
        </is>
      </c>
      <c r="E20" s="8" t="inlineStr">
        <is>
          <t>부르고뉴 석·스키보 캐슬 모티브 등 스토리 연재 (월 2회)</t>
        </is>
      </c>
      <c r="F20" s="8" t="inlineStr">
        <is>
          <t>월 2건</t>
        </is>
      </c>
      <c r="G20" s="19" t="inlineStr">
        <is>
          <t>대행사</t>
        </is>
      </c>
      <c r="H20" s="19" t="inlineStr">
        <is>
          <t>표준</t>
        </is>
      </c>
      <c r="I20" s="19" t="n">
        <v>4</v>
      </c>
      <c r="J20" s="19" t="n">
        <v>9</v>
      </c>
      <c r="K20" s="19">
        <f>J20-I20+1</f>
        <v/>
      </c>
      <c r="L20" s="19" t="inlineStr">
        <is>
          <t>중</t>
        </is>
      </c>
      <c r="M20" s="8" t="inlineStr">
        <is>
          <t>인스타 저장·공유</t>
        </is>
      </c>
      <c r="N20" s="20" t="inlineStr">
        <is>
          <t>예정</t>
        </is>
      </c>
      <c r="O20" s="12" t="inlineStr"/>
    </row>
    <row r="21">
      <c r="A21" s="19" t="inlineStr">
        <is>
          <t>T17</t>
        </is>
      </c>
      <c r="B21" s="11" t="inlineStr">
        <is>
          <t>P3 콘텐츠 운영</t>
        </is>
      </c>
      <c r="C21" s="8" t="inlineStr">
        <is>
          <t>유튜브</t>
        </is>
      </c>
      <c r="D21" s="15" t="inlineStr">
        <is>
          <t>실제 커플 다큐</t>
        </is>
      </c>
      <c r="E21" s="8" t="inlineStr">
        <is>
          <t>동의를 받은 커플의 하루 기록, 분기 1편</t>
        </is>
      </c>
      <c r="F21" s="8" t="inlineStr">
        <is>
          <t>분기 1편</t>
        </is>
      </c>
      <c r="G21" s="19" t="inlineStr">
        <is>
          <t>공동</t>
        </is>
      </c>
      <c r="H21" s="19" t="inlineStr">
        <is>
          <t>확장</t>
        </is>
      </c>
      <c r="I21" s="19" t="n">
        <v>5</v>
      </c>
      <c r="J21" s="19" t="n">
        <v>12</v>
      </c>
      <c r="K21" s="19">
        <f>J21-I21+1</f>
        <v/>
      </c>
      <c r="L21" s="19" t="inlineStr">
        <is>
          <t>중</t>
        </is>
      </c>
      <c r="M21" s="8" t="inlineStr">
        <is>
          <t>유튜브 조회</t>
        </is>
      </c>
      <c r="N21" s="20" t="inlineStr">
        <is>
          <t>예정</t>
        </is>
      </c>
      <c r="O21" s="12" t="inlineStr"/>
    </row>
    <row r="22">
      <c r="A22" s="19" t="inlineStr">
        <is>
          <t>T18</t>
        </is>
      </c>
      <c r="B22" s="11" t="inlineStr">
        <is>
          <t>P3 콘텐츠 운영</t>
        </is>
      </c>
      <c r="C22" s="8" t="inlineStr">
        <is>
          <t>블로그</t>
        </is>
      </c>
      <c r="D22" s="15" t="inlineStr">
        <is>
          <t>네이버 블로그 운영</t>
        </is>
      </c>
      <c r="E22" s="8" t="inlineStr">
        <is>
          <t>공식 블로그 주 1회 + 실사용 후기 협업(광고 표기 준수)</t>
        </is>
      </c>
      <c r="F22" s="8" t="inlineStr">
        <is>
          <t>월 4건+</t>
        </is>
      </c>
      <c r="G22" s="19" t="inlineStr">
        <is>
          <t>대행사</t>
        </is>
      </c>
      <c r="H22" s="19" t="inlineStr">
        <is>
          <t>기본</t>
        </is>
      </c>
      <c r="I22" s="19" t="n">
        <v>3</v>
      </c>
      <c r="J22" s="19" t="n">
        <v>12</v>
      </c>
      <c r="K22" s="19">
        <f>J22-I22+1</f>
        <v/>
      </c>
      <c r="L22" s="19" t="inlineStr">
        <is>
          <t>상</t>
        </is>
      </c>
      <c r="M22" s="8" t="inlineStr">
        <is>
          <t>브랜드 검색량</t>
        </is>
      </c>
      <c r="N22" s="20" t="inlineStr">
        <is>
          <t>예정</t>
        </is>
      </c>
      <c r="O22" s="12" t="inlineStr"/>
    </row>
    <row r="23">
      <c r="A23" s="19" t="inlineStr">
        <is>
          <t>T19</t>
        </is>
      </c>
      <c r="B23" s="11" t="inlineStr">
        <is>
          <t>P3 콘텐츠 운영</t>
        </is>
      </c>
      <c r="C23" s="8" t="inlineStr">
        <is>
          <t>광고</t>
        </is>
      </c>
      <c r="D23" s="15" t="inlineStr">
        <is>
          <t>퍼포먼스 광고</t>
        </is>
      </c>
      <c r="E23" s="8" t="inlineStr">
        <is>
          <t>인스타·네이버 검색 광고로 투어 예약 유도, 월별 A/B 테스트</t>
        </is>
      </c>
      <c r="F23" s="8" t="inlineStr">
        <is>
          <t>월 광고 리포트</t>
        </is>
      </c>
      <c r="G23" s="19" t="inlineStr">
        <is>
          <t>대행사</t>
        </is>
      </c>
      <c r="H23" s="19" t="inlineStr">
        <is>
          <t>표준</t>
        </is>
      </c>
      <c r="I23" s="19" t="n">
        <v>4</v>
      </c>
      <c r="J23" s="19" t="n">
        <v>12</v>
      </c>
      <c r="K23" s="19">
        <f>J23-I23+1</f>
        <v/>
      </c>
      <c r="L23" s="19" t="inlineStr">
        <is>
          <t>중</t>
        </is>
      </c>
      <c r="M23" s="8" t="inlineStr">
        <is>
          <t>투어 예약 수</t>
        </is>
      </c>
      <c r="N23" s="20" t="inlineStr">
        <is>
          <t>예정</t>
        </is>
      </c>
      <c r="O23" s="12" t="inlineStr"/>
    </row>
    <row r="24">
      <c r="A24" s="19" t="inlineStr">
        <is>
          <t>T20</t>
        </is>
      </c>
      <c r="B24" s="11" t="inlineStr">
        <is>
          <t>P3 콘텐츠 운영</t>
        </is>
      </c>
      <c r="C24" s="8" t="inlineStr">
        <is>
          <t>협업</t>
        </is>
      </c>
      <c r="D24" s="15" t="inlineStr">
        <is>
          <t>웨딩 크리에이터 협업</t>
        </is>
      </c>
      <c r="E24" s="8" t="inlineStr">
        <is>
          <t>스냅 작가·웨딩 인플루언서 초청 촬영 (분기 1회)</t>
        </is>
      </c>
      <c r="F24" s="8" t="inlineStr">
        <is>
          <t>협업 콘텐츠</t>
        </is>
      </c>
      <c r="G24" s="19" t="inlineStr">
        <is>
          <t>공동</t>
        </is>
      </c>
      <c r="H24" s="19" t="inlineStr">
        <is>
          <t>표준</t>
        </is>
      </c>
      <c r="I24" s="19" t="n">
        <v>5</v>
      </c>
      <c r="J24" s="19" t="n">
        <v>12</v>
      </c>
      <c r="K24" s="19">
        <f>J24-I24+1</f>
        <v/>
      </c>
      <c r="L24" s="19" t="inlineStr">
        <is>
          <t>중</t>
        </is>
      </c>
      <c r="M24" s="8" t="inlineStr">
        <is>
          <t>인스타 도달</t>
        </is>
      </c>
      <c r="N24" s="20" t="inlineStr">
        <is>
          <t>예정</t>
        </is>
      </c>
      <c r="O24" s="12" t="inlineStr"/>
    </row>
    <row r="25">
      <c r="A25" s="19" t="inlineStr">
        <is>
          <t>T21</t>
        </is>
      </c>
      <c r="B25" s="12" t="inlineStr">
        <is>
          <t>P4 상품·경험 설계</t>
        </is>
      </c>
      <c r="C25" s="8" t="inlineStr">
        <is>
          <t>상품</t>
        </is>
      </c>
      <c r="D25" s="15" t="inlineStr">
        <is>
          <t>시그니처 패키지 기획</t>
        </is>
      </c>
      <c r="E25" s="8" t="inlineStr">
        <is>
          <t>홀별 이름 붙은 패키지 1개씩 (예: 체임버 헤리티지, 그라스 가든 이브닝)</t>
        </is>
      </c>
      <c r="F25" s="8" t="inlineStr">
        <is>
          <t>패키지 기획서</t>
        </is>
      </c>
      <c r="G25" s="19" t="inlineStr">
        <is>
          <t>공동</t>
        </is>
      </c>
      <c r="H25" s="19" t="inlineStr">
        <is>
          <t>표준</t>
        </is>
      </c>
      <c r="I25" s="19" t="n">
        <v>3</v>
      </c>
      <c r="J25" s="19" t="n">
        <v>4</v>
      </c>
      <c r="K25" s="19">
        <f>J25-I25+1</f>
        <v/>
      </c>
      <c r="L25" s="19" t="inlineStr">
        <is>
          <t>상</t>
        </is>
      </c>
      <c r="M25" s="8" t="inlineStr">
        <is>
          <t>평균 계약 단가</t>
        </is>
      </c>
      <c r="N25" s="20" t="inlineStr">
        <is>
          <t>예정</t>
        </is>
      </c>
      <c r="O25" s="12" t="inlineStr"/>
    </row>
    <row r="26">
      <c r="A26" s="19" t="inlineStr">
        <is>
          <t>T22</t>
        </is>
      </c>
      <c r="B26" s="12" t="inlineStr">
        <is>
          <t>P4 상품·경험 설계</t>
        </is>
      </c>
      <c r="C26" s="8" t="inlineStr">
        <is>
          <t>상품</t>
        </is>
      </c>
      <c r="D26" s="15" t="inlineStr">
        <is>
          <t>혜택 구조 개편</t>
        </is>
      </c>
      <c r="E26" s="8" t="inlineStr">
        <is>
          <t>할인 대신 혜택 추가 방식(플라워 업그레이드 등)으로 전환안</t>
        </is>
      </c>
      <c r="F26" s="8" t="inlineStr">
        <is>
          <t>프로모션 가이드</t>
        </is>
      </c>
      <c r="G26" s="19" t="inlineStr">
        <is>
          <t>공동</t>
        </is>
      </c>
      <c r="H26" s="19" t="inlineStr">
        <is>
          <t>표준</t>
        </is>
      </c>
      <c r="I26" s="19" t="n">
        <v>3</v>
      </c>
      <c r="J26" s="19" t="n">
        <v>4</v>
      </c>
      <c r="K26" s="19">
        <f>J26-I26+1</f>
        <v/>
      </c>
      <c r="L26" s="19" t="inlineStr">
        <is>
          <t>상</t>
        </is>
      </c>
      <c r="M26" s="8" t="inlineStr">
        <is>
          <t>할인율</t>
        </is>
      </c>
      <c r="N26" s="20" t="inlineStr">
        <is>
          <t>예정</t>
        </is>
      </c>
      <c r="O26" s="12" t="inlineStr"/>
    </row>
    <row r="27">
      <c r="A27" s="19" t="inlineStr">
        <is>
          <t>T23</t>
        </is>
      </c>
      <c r="B27" s="12" t="inlineStr">
        <is>
          <t>P4 상품·경험 설계</t>
        </is>
      </c>
      <c r="C27" s="8" t="inlineStr">
        <is>
          <t>경험</t>
        </is>
      </c>
      <c r="D27" s="15" t="inlineStr">
        <is>
          <t>1:1 프라이빗 투어</t>
        </is>
      </c>
      <c r="E27" s="8" t="inlineStr">
        <is>
          <t>큐레이터 투어 스크립트·동선·투어 후 연락 매뉴얼</t>
        </is>
      </c>
      <c r="F27" s="8" t="inlineStr">
        <is>
          <t>투어 매뉴얼</t>
        </is>
      </c>
      <c r="G27" s="19" t="inlineStr">
        <is>
          <t>라움</t>
        </is>
      </c>
      <c r="H27" s="19" t="inlineStr">
        <is>
          <t>표준</t>
        </is>
      </c>
      <c r="I27" s="19" t="n">
        <v>4</v>
      </c>
      <c r="J27" s="19" t="n">
        <v>5</v>
      </c>
      <c r="K27" s="19">
        <f>J27-I27+1</f>
        <v/>
      </c>
      <c r="L27" s="19" t="inlineStr">
        <is>
          <t>상</t>
        </is>
      </c>
      <c r="M27" s="8" t="inlineStr">
        <is>
          <t>투어→계약 전환율</t>
        </is>
      </c>
      <c r="N27" s="20" t="inlineStr">
        <is>
          <t>예정</t>
        </is>
      </c>
      <c r="O27" s="12" t="inlineStr"/>
    </row>
    <row r="28">
      <c r="A28" s="19" t="inlineStr">
        <is>
          <t>T24</t>
        </is>
      </c>
      <c r="B28" s="12" t="inlineStr">
        <is>
          <t>P4 상품·경험 설계</t>
        </is>
      </c>
      <c r="C28" s="8" t="inlineStr">
        <is>
          <t>경험</t>
        </is>
      </c>
      <c r="D28" s="15" t="inlineStr">
        <is>
          <t>시그니처 쇼케이스</t>
        </is>
      </c>
      <c r="E28" s="8" t="inlineStr">
        <is>
          <t>분기 1회 초청형 시식·플라워 쇼케이스 기획·홍보</t>
        </is>
      </c>
      <c r="F28" s="8" t="inlineStr">
        <is>
          <t>쇼케이스 기획안/결과</t>
        </is>
      </c>
      <c r="G28" s="19" t="inlineStr">
        <is>
          <t>공동</t>
        </is>
      </c>
      <c r="H28" s="19" t="inlineStr">
        <is>
          <t>표준</t>
        </is>
      </c>
      <c r="I28" s="19" t="n">
        <v>5</v>
      </c>
      <c r="J28" s="19" t="n">
        <v>12</v>
      </c>
      <c r="K28" s="19">
        <f>J28-I28+1</f>
        <v/>
      </c>
      <c r="L28" s="19" t="inlineStr">
        <is>
          <t>중</t>
        </is>
      </c>
      <c r="M28" s="8" t="inlineStr">
        <is>
          <t>투어 예약 수</t>
        </is>
      </c>
      <c r="N28" s="20" t="inlineStr">
        <is>
          <t>예정</t>
        </is>
      </c>
      <c r="O28" s="12" t="inlineStr"/>
    </row>
    <row r="29">
      <c r="A29" s="19" t="inlineStr">
        <is>
          <t>T25</t>
        </is>
      </c>
      <c r="B29" s="12" t="inlineStr">
        <is>
          <t>P4 상품·경험 설계</t>
        </is>
      </c>
      <c r="C29" s="8" t="inlineStr">
        <is>
          <t>경험</t>
        </is>
      </c>
      <c r="D29" s="15" t="inlineStr">
        <is>
          <t>계약 고객 웰컴 키트</t>
        </is>
      </c>
      <c r="E29" s="8" t="inlineStr">
        <is>
          <t>계약 후 브랜드 경험(웰컴 레터·키트) 설계 → 후기 유도</t>
        </is>
      </c>
      <c r="F29" s="8" t="inlineStr">
        <is>
          <t>키트 시안</t>
        </is>
      </c>
      <c r="G29" s="19" t="inlineStr">
        <is>
          <t>공동</t>
        </is>
      </c>
      <c r="H29" s="19" t="inlineStr">
        <is>
          <t>확장</t>
        </is>
      </c>
      <c r="I29" s="19" t="n">
        <v>5</v>
      </c>
      <c r="J29" s="19" t="n">
        <v>6</v>
      </c>
      <c r="K29" s="19">
        <f>J29-I29+1</f>
        <v/>
      </c>
      <c r="L29" s="19" t="inlineStr">
        <is>
          <t>하</t>
        </is>
      </c>
      <c r="M29" s="8" t="inlineStr">
        <is>
          <t>플레이스 리뷰·평점</t>
        </is>
      </c>
      <c r="N29" s="20" t="inlineStr">
        <is>
          <t>예정</t>
        </is>
      </c>
      <c r="O29" s="12" t="inlineStr"/>
    </row>
    <row r="30">
      <c r="A30" s="19" t="inlineStr">
        <is>
          <t>T26</t>
        </is>
      </c>
      <c r="B30" s="13" t="inlineStr">
        <is>
          <t>P5 노출 확장</t>
        </is>
      </c>
      <c r="C30" s="8" t="inlineStr">
        <is>
          <t>제휴</t>
        </is>
      </c>
      <c r="D30" s="15" t="inlineStr">
        <is>
          <t>브랜드 행사 대관 제휴</t>
        </is>
      </c>
      <c r="E30" s="8" t="inlineStr">
        <is>
          <t>패션·주얼리 브랜드 론칭·갈라 행사 유치 (평일 위주)</t>
        </is>
      </c>
      <c r="F30" s="8" t="inlineStr">
        <is>
          <t>제휴 제안서/계약</t>
        </is>
      </c>
      <c r="G30" s="19" t="inlineStr">
        <is>
          <t>공동</t>
        </is>
      </c>
      <c r="H30" s="19" t="inlineStr">
        <is>
          <t>확장</t>
        </is>
      </c>
      <c r="I30" s="19" t="n">
        <v>6</v>
      </c>
      <c r="J30" s="19" t="n">
        <v>12</v>
      </c>
      <c r="K30" s="19">
        <f>J30-I30+1</f>
        <v/>
      </c>
      <c r="L30" s="19" t="inlineStr">
        <is>
          <t>중</t>
        </is>
      </c>
      <c r="M30" s="8" t="inlineStr">
        <is>
          <t>브랜드 검색량</t>
        </is>
      </c>
      <c r="N30" s="20" t="inlineStr">
        <is>
          <t>예정</t>
        </is>
      </c>
      <c r="O30" s="12" t="inlineStr"/>
    </row>
    <row r="31">
      <c r="A31" s="19" t="inlineStr">
        <is>
          <t>T27</t>
        </is>
      </c>
      <c r="B31" s="13" t="inlineStr">
        <is>
          <t>P5 노출 확장</t>
        </is>
      </c>
      <c r="C31" s="8" t="inlineStr">
        <is>
          <t>제휴</t>
        </is>
      </c>
      <c r="D31" s="15" t="inlineStr">
        <is>
          <t>화보·촬영지 대관</t>
        </is>
      </c>
      <c r="E31" s="8" t="inlineStr">
        <is>
          <t>화보·뮤직비디오·광고 촬영지 등록 및 영업</t>
        </is>
      </c>
      <c r="F31" s="8" t="inlineStr">
        <is>
          <t>촬영 유치 실적</t>
        </is>
      </c>
      <c r="G31" s="19" t="inlineStr">
        <is>
          <t>라움</t>
        </is>
      </c>
      <c r="H31" s="19" t="inlineStr">
        <is>
          <t>확장</t>
        </is>
      </c>
      <c r="I31" s="19" t="n">
        <v>6</v>
      </c>
      <c r="J31" s="19" t="n">
        <v>12</v>
      </c>
      <c r="K31" s="19">
        <f>J31-I31+1</f>
        <v/>
      </c>
      <c r="L31" s="19" t="inlineStr">
        <is>
          <t>하</t>
        </is>
      </c>
      <c r="M31" s="8" t="inlineStr">
        <is>
          <t>브랜드 검색량</t>
        </is>
      </c>
      <c r="N31" s="20" t="inlineStr">
        <is>
          <t>예정</t>
        </is>
      </c>
      <c r="O31" s="12" t="inlineStr"/>
    </row>
    <row r="32">
      <c r="A32" s="19" t="inlineStr">
        <is>
          <t>T28</t>
        </is>
      </c>
      <c r="B32" s="13" t="inlineStr">
        <is>
          <t>P5 노출 확장</t>
        </is>
      </c>
      <c r="C32" s="8" t="inlineStr">
        <is>
          <t>PR</t>
        </is>
      </c>
      <c r="D32" s="15" t="inlineStr">
        <is>
          <t>언론 PR</t>
        </is>
      </c>
      <c r="E32" s="8" t="inlineStr">
        <is>
          <t>리브랜딩·시그니처 패키지·쇼케이스 보도자료 (분기 1회)</t>
        </is>
      </c>
      <c r="F32" s="8" t="inlineStr">
        <is>
          <t>보도자료/기사</t>
        </is>
      </c>
      <c r="G32" s="19" t="inlineStr">
        <is>
          <t>대행사</t>
        </is>
      </c>
      <c r="H32" s="19" t="inlineStr">
        <is>
          <t>확장</t>
        </is>
      </c>
      <c r="I32" s="19" t="n">
        <v>4</v>
      </c>
      <c r="J32" s="19" t="n">
        <v>12</v>
      </c>
      <c r="K32" s="19">
        <f>J32-I32+1</f>
        <v/>
      </c>
      <c r="L32" s="19" t="inlineStr">
        <is>
          <t>중</t>
        </is>
      </c>
      <c r="M32" s="8" t="inlineStr">
        <is>
          <t>브랜드 검색량</t>
        </is>
      </c>
      <c r="N32" s="20" t="inlineStr">
        <is>
          <t>예정</t>
        </is>
      </c>
      <c r="O32" s="12" t="inlineStr"/>
    </row>
    <row r="33">
      <c r="A33" s="19" t="inlineStr">
        <is>
          <t>T29</t>
        </is>
      </c>
      <c r="B33" s="14" t="inlineStr">
        <is>
          <t>P6 성과 관리</t>
        </is>
      </c>
      <c r="C33" s="8" t="inlineStr">
        <is>
          <t>리포트</t>
        </is>
      </c>
      <c r="D33" s="15" t="inlineStr">
        <is>
          <t>월간 리포트</t>
        </is>
      </c>
      <c r="E33" s="8" t="inlineStr">
        <is>
          <t>채널·광고·문의·계약 지표 정리 + 다음 달 개선안</t>
        </is>
      </c>
      <c r="F33" s="8" t="inlineStr">
        <is>
          <t>월간 리포트</t>
        </is>
      </c>
      <c r="G33" s="19" t="inlineStr">
        <is>
          <t>대행사</t>
        </is>
      </c>
      <c r="H33" s="19" t="inlineStr">
        <is>
          <t>기본</t>
        </is>
      </c>
      <c r="I33" s="19" t="n">
        <v>2</v>
      </c>
      <c r="J33" s="19" t="n">
        <v>12</v>
      </c>
      <c r="K33" s="19">
        <f>J33-I33+1</f>
        <v/>
      </c>
      <c r="L33" s="19" t="inlineStr">
        <is>
          <t>상</t>
        </is>
      </c>
      <c r="M33" s="8" t="inlineStr">
        <is>
          <t>전체</t>
        </is>
      </c>
      <c r="N33" s="20" t="inlineStr">
        <is>
          <t>예정</t>
        </is>
      </c>
      <c r="O33" s="12" t="inlineStr"/>
    </row>
    <row r="34">
      <c r="A34" s="19" t="inlineStr">
        <is>
          <t>T30</t>
        </is>
      </c>
      <c r="B34" s="14" t="inlineStr">
        <is>
          <t>P6 성과 관리</t>
        </is>
      </c>
      <c r="C34" s="8" t="inlineStr">
        <is>
          <t>리포트</t>
        </is>
      </c>
      <c r="D34" s="15" t="inlineStr">
        <is>
          <t>분기 리뷰</t>
        </is>
      </c>
      <c r="E34" s="8" t="inlineStr">
        <is>
          <t>KPI 목표 대비 점검, 예산 재배분</t>
        </is>
      </c>
      <c r="F34" s="8" t="inlineStr">
        <is>
          <t>분기 리뷰 자료</t>
        </is>
      </c>
      <c r="G34" s="19" t="inlineStr">
        <is>
          <t>공동</t>
        </is>
      </c>
      <c r="H34" s="19" t="inlineStr">
        <is>
          <t>기본</t>
        </is>
      </c>
      <c r="I34" s="19" t="n">
        <v>3</v>
      </c>
      <c r="J34" s="19" t="n">
        <v>12</v>
      </c>
      <c r="K34" s="19">
        <f>J34-I34+1</f>
        <v/>
      </c>
      <c r="L34" s="19" t="inlineStr">
        <is>
          <t>상</t>
        </is>
      </c>
      <c r="M34" s="8" t="inlineStr">
        <is>
          <t>전체</t>
        </is>
      </c>
      <c r="N34" s="20" t="inlineStr">
        <is>
          <t>예정</t>
        </is>
      </c>
      <c r="O34" s="12" t="inlineStr"/>
    </row>
    <row r="35">
      <c r="A35" s="19" t="inlineStr">
        <is>
          <t>T31</t>
        </is>
      </c>
      <c r="B35" s="14" t="inlineStr">
        <is>
          <t>P6 성과 관리</t>
        </is>
      </c>
      <c r="C35" s="8" t="inlineStr">
        <is>
          <t>리포트</t>
        </is>
      </c>
      <c r="D35" s="15" t="inlineStr">
        <is>
          <t>연간 성과 보고</t>
        </is>
      </c>
      <c r="E35" s="8" t="inlineStr">
        <is>
          <t>12개월 결과 및 차년도 제안</t>
        </is>
      </c>
      <c r="F35" s="8" t="inlineStr">
        <is>
          <t>연간 보고서</t>
        </is>
      </c>
      <c r="G35" s="19" t="inlineStr">
        <is>
          <t>대행사</t>
        </is>
      </c>
      <c r="H35" s="19" t="inlineStr">
        <is>
          <t>기본</t>
        </is>
      </c>
      <c r="I35" s="19" t="n">
        <v>12</v>
      </c>
      <c r="J35" s="19" t="n">
        <v>12</v>
      </c>
      <c r="K35" s="19">
        <f>J35-I35+1</f>
        <v/>
      </c>
      <c r="L35" s="19" t="inlineStr">
        <is>
          <t>중</t>
        </is>
      </c>
      <c r="M35" s="8" t="inlineStr">
        <is>
          <t>전체</t>
        </is>
      </c>
      <c r="N35" s="20" t="inlineStr">
        <is>
          <t>예정</t>
        </is>
      </c>
      <c r="O35" s="12" t="inlineStr"/>
    </row>
  </sheetData>
  <autoFilter ref="A4:O35"/>
  <conditionalFormatting sqref="N5:N35">
    <cfRule type="cellIs" priority="1" operator="equal" dxfId="0">
      <formula>"완료"</formula>
    </cfRule>
    <cfRule type="cellIs" priority="2" operator="equal" dxfId="1">
      <formula>"진행중"</formula>
    </cfRule>
    <cfRule type="cellIs" priority="3" operator="equal" dxfId="2">
      <formula>"보류"</formula>
    </cfRule>
  </conditionalFormatting>
  <conditionalFormatting sqref="L5:L35">
    <cfRule type="cellIs" priority="4" operator="equal" dxfId="3">
      <formula>"상"</formula>
    </cfRule>
  </conditionalFormatting>
  <dataValidations count="1">
    <dataValidation sqref="N5:N35" showDropDown="0" showInputMessage="0" showErrorMessage="0" allowBlank="1" type="list">
      <formula1>"예정,진행중,완료,보류"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R44"/>
  <sheetViews>
    <sheetView showGridLines="0"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26" customWidth="1" min="3" max="3"/>
    <col width="8" customWidth="1" min="4" max="4"/>
    <col width="6" customWidth="1" min="5" max="5"/>
    <col width="6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</cols>
  <sheetData>
    <row r="1">
      <c r="A1" s="1" t="inlineStr">
        <is>
          <t>12개월 간트차트</t>
        </is>
      </c>
    </row>
    <row r="2">
      <c r="A2" s="2" t="inlineStr">
        <is>
          <t>실행계획 시트와 연동 · 색은 단계별 · 착수일은 개요 시트 B4</t>
        </is>
      </c>
    </row>
    <row r="3">
      <c r="A3" t="inlineStr"/>
      <c r="B3" t="inlineStr"/>
      <c r="C3" t="inlineStr"/>
      <c r="D3" t="inlineStr"/>
      <c r="E3" t="inlineStr"/>
      <c r="F3" t="inlineStr"/>
      <c r="G3" s="21" t="inlineStr">
        <is>
          <t>M1</t>
        </is>
      </c>
      <c r="H3" s="21" t="inlineStr">
        <is>
          <t>M2</t>
        </is>
      </c>
      <c r="I3" s="21" t="inlineStr">
        <is>
          <t>M3</t>
        </is>
      </c>
      <c r="J3" s="21" t="inlineStr">
        <is>
          <t>M4</t>
        </is>
      </c>
      <c r="K3" s="21" t="inlineStr">
        <is>
          <t>M5</t>
        </is>
      </c>
      <c r="L3" s="21" t="inlineStr">
        <is>
          <t>M6</t>
        </is>
      </c>
      <c r="M3" s="21" t="inlineStr">
        <is>
          <t>M7</t>
        </is>
      </c>
      <c r="N3" s="21" t="inlineStr">
        <is>
          <t>M8</t>
        </is>
      </c>
      <c r="O3" s="21" t="inlineStr">
        <is>
          <t>M9</t>
        </is>
      </c>
      <c r="P3" s="21" t="inlineStr">
        <is>
          <t>M10</t>
        </is>
      </c>
      <c r="Q3" s="21" t="inlineStr">
        <is>
          <t>M11</t>
        </is>
      </c>
      <c r="R3" s="21" t="inlineStr">
        <is>
          <t>M12</t>
        </is>
      </c>
    </row>
    <row r="4">
      <c r="A4" s="6" t="inlineStr">
        <is>
          <t>ID</t>
        </is>
      </c>
      <c r="B4" s="6" t="inlineStr">
        <is>
          <t>단계</t>
        </is>
      </c>
      <c r="C4" s="6" t="inlineStr">
        <is>
          <t>과제</t>
        </is>
      </c>
      <c r="D4" s="6" t="inlineStr">
        <is>
          <t>담당</t>
        </is>
      </c>
      <c r="E4" s="6" t="inlineStr">
        <is>
          <t>시작</t>
        </is>
      </c>
      <c r="F4" s="6" t="inlineStr">
        <is>
          <t>종료</t>
        </is>
      </c>
      <c r="G4" s="22">
        <f>EDATE('개요'!$B$4,0)</f>
        <v/>
      </c>
      <c r="H4" s="22">
        <f>EDATE('개요'!$B$4,1)</f>
        <v/>
      </c>
      <c r="I4" s="22">
        <f>EDATE('개요'!$B$4,2)</f>
        <v/>
      </c>
      <c r="J4" s="22">
        <f>EDATE('개요'!$B$4,3)</f>
        <v/>
      </c>
      <c r="K4" s="22">
        <f>EDATE('개요'!$B$4,4)</f>
        <v/>
      </c>
      <c r="L4" s="22">
        <f>EDATE('개요'!$B$4,5)</f>
        <v/>
      </c>
      <c r="M4" s="22">
        <f>EDATE('개요'!$B$4,6)</f>
        <v/>
      </c>
      <c r="N4" s="22">
        <f>EDATE('개요'!$B$4,7)</f>
        <v/>
      </c>
      <c r="O4" s="22">
        <f>EDATE('개요'!$B$4,8)</f>
        <v/>
      </c>
      <c r="P4" s="22">
        <f>EDATE('개요'!$B$4,9)</f>
        <v/>
      </c>
      <c r="Q4" s="22">
        <f>EDATE('개요'!$B$4,10)</f>
        <v/>
      </c>
      <c r="R4" s="22">
        <f>EDATE('개요'!$B$4,11)</f>
        <v/>
      </c>
    </row>
    <row r="5" ht="18" customHeight="1">
      <c r="A5" s="19">
        <f>'실행계획'!A5</f>
        <v/>
      </c>
      <c r="B5" s="23">
        <f>'실행계획'!B5</f>
        <v/>
      </c>
      <c r="C5" s="23">
        <f>'실행계획'!D5</f>
        <v/>
      </c>
      <c r="D5" s="19">
        <f>'실행계획'!G5</f>
        <v/>
      </c>
      <c r="E5" s="19">
        <f>'실행계획'!I5</f>
        <v/>
      </c>
      <c r="F5" s="19">
        <f>'실행계획'!J5</f>
        <v/>
      </c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</row>
    <row r="6" ht="18" customHeight="1">
      <c r="A6" s="19">
        <f>'실행계획'!A6</f>
        <v/>
      </c>
      <c r="B6" s="23">
        <f>'실행계획'!B6</f>
        <v/>
      </c>
      <c r="C6" s="23">
        <f>'실행계획'!D6</f>
        <v/>
      </c>
      <c r="D6" s="19">
        <f>'실행계획'!G6</f>
        <v/>
      </c>
      <c r="E6" s="19">
        <f>'실행계획'!I6</f>
        <v/>
      </c>
      <c r="F6" s="19">
        <f>'실행계획'!J6</f>
        <v/>
      </c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</row>
    <row r="7" ht="18" customHeight="1">
      <c r="A7" s="19">
        <f>'실행계획'!A7</f>
        <v/>
      </c>
      <c r="B7" s="23">
        <f>'실행계획'!B7</f>
        <v/>
      </c>
      <c r="C7" s="23">
        <f>'실행계획'!D7</f>
        <v/>
      </c>
      <c r="D7" s="19">
        <f>'실행계획'!G7</f>
        <v/>
      </c>
      <c r="E7" s="19">
        <f>'실행계획'!I7</f>
        <v/>
      </c>
      <c r="F7" s="19">
        <f>'실행계획'!J7</f>
        <v/>
      </c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</row>
    <row r="8" ht="18" customHeight="1">
      <c r="A8" s="19">
        <f>'실행계획'!A8</f>
        <v/>
      </c>
      <c r="B8" s="23">
        <f>'실행계획'!B8</f>
        <v/>
      </c>
      <c r="C8" s="23">
        <f>'실행계획'!D8</f>
        <v/>
      </c>
      <c r="D8" s="19">
        <f>'실행계획'!G8</f>
        <v/>
      </c>
      <c r="E8" s="19">
        <f>'실행계획'!I8</f>
        <v/>
      </c>
      <c r="F8" s="19">
        <f>'실행계획'!J8</f>
        <v/>
      </c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</row>
    <row r="9" ht="18" customHeight="1">
      <c r="A9" s="19">
        <f>'실행계획'!A9</f>
        <v/>
      </c>
      <c r="B9" s="23">
        <f>'실행계획'!B9</f>
        <v/>
      </c>
      <c r="C9" s="23">
        <f>'실행계획'!D9</f>
        <v/>
      </c>
      <c r="D9" s="19">
        <f>'실행계획'!G9</f>
        <v/>
      </c>
      <c r="E9" s="19">
        <f>'실행계획'!I9</f>
        <v/>
      </c>
      <c r="F9" s="19">
        <f>'실행계획'!J9</f>
        <v/>
      </c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</row>
    <row r="10" ht="18" customHeight="1">
      <c r="A10" s="19">
        <f>'실행계획'!A10</f>
        <v/>
      </c>
      <c r="B10" s="23">
        <f>'실행계획'!B10</f>
        <v/>
      </c>
      <c r="C10" s="23">
        <f>'실행계획'!D10</f>
        <v/>
      </c>
      <c r="D10" s="19">
        <f>'실행계획'!G10</f>
        <v/>
      </c>
      <c r="E10" s="19">
        <f>'실행계획'!I10</f>
        <v/>
      </c>
      <c r="F10" s="19">
        <f>'실행계획'!J10</f>
        <v/>
      </c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</row>
    <row r="11" ht="18" customHeight="1">
      <c r="A11" s="19">
        <f>'실행계획'!A11</f>
        <v/>
      </c>
      <c r="B11" s="23">
        <f>'실행계획'!B11</f>
        <v/>
      </c>
      <c r="C11" s="23">
        <f>'실행계획'!D11</f>
        <v/>
      </c>
      <c r="D11" s="19">
        <f>'실행계획'!G11</f>
        <v/>
      </c>
      <c r="E11" s="19">
        <f>'실행계획'!I11</f>
        <v/>
      </c>
      <c r="F11" s="19">
        <f>'실행계획'!J11</f>
        <v/>
      </c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</row>
    <row r="12" ht="18" customHeight="1">
      <c r="A12" s="19">
        <f>'실행계획'!A12</f>
        <v/>
      </c>
      <c r="B12" s="23">
        <f>'실행계획'!B12</f>
        <v/>
      </c>
      <c r="C12" s="23">
        <f>'실행계획'!D12</f>
        <v/>
      </c>
      <c r="D12" s="19">
        <f>'실행계획'!G12</f>
        <v/>
      </c>
      <c r="E12" s="19">
        <f>'실행계획'!I12</f>
        <v/>
      </c>
      <c r="F12" s="19">
        <f>'실행계획'!J12</f>
        <v/>
      </c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</row>
    <row r="13" ht="18" customHeight="1">
      <c r="A13" s="19">
        <f>'실행계획'!A13</f>
        <v/>
      </c>
      <c r="B13" s="23">
        <f>'실행계획'!B13</f>
        <v/>
      </c>
      <c r="C13" s="23">
        <f>'실행계획'!D13</f>
        <v/>
      </c>
      <c r="D13" s="19">
        <f>'실행계획'!G13</f>
        <v/>
      </c>
      <c r="E13" s="19">
        <f>'실행계획'!I13</f>
        <v/>
      </c>
      <c r="F13" s="19">
        <f>'실행계획'!J13</f>
        <v/>
      </c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</row>
    <row r="14" ht="18" customHeight="1">
      <c r="A14" s="19">
        <f>'실행계획'!A14</f>
        <v/>
      </c>
      <c r="B14" s="23">
        <f>'실행계획'!B14</f>
        <v/>
      </c>
      <c r="C14" s="23">
        <f>'실행계획'!D14</f>
        <v/>
      </c>
      <c r="D14" s="19">
        <f>'실행계획'!G14</f>
        <v/>
      </c>
      <c r="E14" s="19">
        <f>'실행계획'!I14</f>
        <v/>
      </c>
      <c r="F14" s="19">
        <f>'실행계획'!J14</f>
        <v/>
      </c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</row>
    <row r="15" ht="18" customHeight="1">
      <c r="A15" s="19">
        <f>'실행계획'!A15</f>
        <v/>
      </c>
      <c r="B15" s="23">
        <f>'실행계획'!B15</f>
        <v/>
      </c>
      <c r="C15" s="23">
        <f>'실행계획'!D15</f>
        <v/>
      </c>
      <c r="D15" s="19">
        <f>'실행계획'!G15</f>
        <v/>
      </c>
      <c r="E15" s="19">
        <f>'실행계획'!I15</f>
        <v/>
      </c>
      <c r="F15" s="19">
        <f>'실행계획'!J15</f>
        <v/>
      </c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</row>
    <row r="16" ht="18" customHeight="1">
      <c r="A16" s="19">
        <f>'실행계획'!A16</f>
        <v/>
      </c>
      <c r="B16" s="23">
        <f>'실행계획'!B16</f>
        <v/>
      </c>
      <c r="C16" s="23">
        <f>'실행계획'!D16</f>
        <v/>
      </c>
      <c r="D16" s="19">
        <f>'실행계획'!G16</f>
        <v/>
      </c>
      <c r="E16" s="19">
        <f>'실행계획'!I16</f>
        <v/>
      </c>
      <c r="F16" s="19">
        <f>'실행계획'!J16</f>
        <v/>
      </c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</row>
    <row r="17" ht="18" customHeight="1">
      <c r="A17" s="19">
        <f>'실행계획'!A17</f>
        <v/>
      </c>
      <c r="B17" s="23">
        <f>'실행계획'!B17</f>
        <v/>
      </c>
      <c r="C17" s="23">
        <f>'실행계획'!D17</f>
        <v/>
      </c>
      <c r="D17" s="19">
        <f>'실행계획'!G17</f>
        <v/>
      </c>
      <c r="E17" s="19">
        <f>'실행계획'!I17</f>
        <v/>
      </c>
      <c r="F17" s="19">
        <f>'실행계획'!J17</f>
        <v/>
      </c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</row>
    <row r="18" ht="18" customHeight="1">
      <c r="A18" s="19">
        <f>'실행계획'!A18</f>
        <v/>
      </c>
      <c r="B18" s="23">
        <f>'실행계획'!B18</f>
        <v/>
      </c>
      <c r="C18" s="23">
        <f>'실행계획'!D18</f>
        <v/>
      </c>
      <c r="D18" s="19">
        <f>'실행계획'!G18</f>
        <v/>
      </c>
      <c r="E18" s="19">
        <f>'실행계획'!I18</f>
        <v/>
      </c>
      <c r="F18" s="19">
        <f>'실행계획'!J18</f>
        <v/>
      </c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</row>
    <row r="19" ht="18" customHeight="1">
      <c r="A19" s="19">
        <f>'실행계획'!A19</f>
        <v/>
      </c>
      <c r="B19" s="23">
        <f>'실행계획'!B19</f>
        <v/>
      </c>
      <c r="C19" s="23">
        <f>'실행계획'!D19</f>
        <v/>
      </c>
      <c r="D19" s="19">
        <f>'실행계획'!G19</f>
        <v/>
      </c>
      <c r="E19" s="19">
        <f>'실행계획'!I19</f>
        <v/>
      </c>
      <c r="F19" s="19">
        <f>'실행계획'!J19</f>
        <v/>
      </c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</row>
    <row r="20" ht="18" customHeight="1">
      <c r="A20" s="19">
        <f>'실행계획'!A20</f>
        <v/>
      </c>
      <c r="B20" s="23">
        <f>'실행계획'!B20</f>
        <v/>
      </c>
      <c r="C20" s="23">
        <f>'실행계획'!D20</f>
        <v/>
      </c>
      <c r="D20" s="19">
        <f>'실행계획'!G20</f>
        <v/>
      </c>
      <c r="E20" s="19">
        <f>'실행계획'!I20</f>
        <v/>
      </c>
      <c r="F20" s="19">
        <f>'실행계획'!J20</f>
        <v/>
      </c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</row>
    <row r="21" ht="18" customHeight="1">
      <c r="A21" s="19">
        <f>'실행계획'!A21</f>
        <v/>
      </c>
      <c r="B21" s="23">
        <f>'실행계획'!B21</f>
        <v/>
      </c>
      <c r="C21" s="23">
        <f>'실행계획'!D21</f>
        <v/>
      </c>
      <c r="D21" s="19">
        <f>'실행계획'!G21</f>
        <v/>
      </c>
      <c r="E21" s="19">
        <f>'실행계획'!I21</f>
        <v/>
      </c>
      <c r="F21" s="19">
        <f>'실행계획'!J21</f>
        <v/>
      </c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</row>
    <row r="22" ht="18" customHeight="1">
      <c r="A22" s="19">
        <f>'실행계획'!A22</f>
        <v/>
      </c>
      <c r="B22" s="23">
        <f>'실행계획'!B22</f>
        <v/>
      </c>
      <c r="C22" s="23">
        <f>'실행계획'!D22</f>
        <v/>
      </c>
      <c r="D22" s="19">
        <f>'실행계획'!G22</f>
        <v/>
      </c>
      <c r="E22" s="19">
        <f>'실행계획'!I22</f>
        <v/>
      </c>
      <c r="F22" s="19">
        <f>'실행계획'!J22</f>
        <v/>
      </c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</row>
    <row r="23" ht="18" customHeight="1">
      <c r="A23" s="19">
        <f>'실행계획'!A23</f>
        <v/>
      </c>
      <c r="B23" s="23">
        <f>'실행계획'!B23</f>
        <v/>
      </c>
      <c r="C23" s="23">
        <f>'실행계획'!D23</f>
        <v/>
      </c>
      <c r="D23" s="19">
        <f>'실행계획'!G23</f>
        <v/>
      </c>
      <c r="E23" s="19">
        <f>'실행계획'!I23</f>
        <v/>
      </c>
      <c r="F23" s="19">
        <f>'실행계획'!J23</f>
        <v/>
      </c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</row>
    <row r="24" ht="18" customHeight="1">
      <c r="A24" s="19">
        <f>'실행계획'!A24</f>
        <v/>
      </c>
      <c r="B24" s="23">
        <f>'실행계획'!B24</f>
        <v/>
      </c>
      <c r="C24" s="23">
        <f>'실행계획'!D24</f>
        <v/>
      </c>
      <c r="D24" s="19">
        <f>'실행계획'!G24</f>
        <v/>
      </c>
      <c r="E24" s="19">
        <f>'실행계획'!I24</f>
        <v/>
      </c>
      <c r="F24" s="19">
        <f>'실행계획'!J24</f>
        <v/>
      </c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</row>
    <row r="25" ht="18" customHeight="1">
      <c r="A25" s="19">
        <f>'실행계획'!A25</f>
        <v/>
      </c>
      <c r="B25" s="23">
        <f>'실행계획'!B25</f>
        <v/>
      </c>
      <c r="C25" s="23">
        <f>'실행계획'!D25</f>
        <v/>
      </c>
      <c r="D25" s="19">
        <f>'실행계획'!G25</f>
        <v/>
      </c>
      <c r="E25" s="19">
        <f>'실행계획'!I25</f>
        <v/>
      </c>
      <c r="F25" s="19">
        <f>'실행계획'!J25</f>
        <v/>
      </c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</row>
    <row r="26" ht="18" customHeight="1">
      <c r="A26" s="19">
        <f>'실행계획'!A26</f>
        <v/>
      </c>
      <c r="B26" s="23">
        <f>'실행계획'!B26</f>
        <v/>
      </c>
      <c r="C26" s="23">
        <f>'실행계획'!D26</f>
        <v/>
      </c>
      <c r="D26" s="19">
        <f>'실행계획'!G26</f>
        <v/>
      </c>
      <c r="E26" s="19">
        <f>'실행계획'!I26</f>
        <v/>
      </c>
      <c r="F26" s="19">
        <f>'실행계획'!J26</f>
        <v/>
      </c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</row>
    <row r="27" ht="18" customHeight="1">
      <c r="A27" s="19">
        <f>'실행계획'!A27</f>
        <v/>
      </c>
      <c r="B27" s="23">
        <f>'실행계획'!B27</f>
        <v/>
      </c>
      <c r="C27" s="23">
        <f>'실행계획'!D27</f>
        <v/>
      </c>
      <c r="D27" s="19">
        <f>'실행계획'!G27</f>
        <v/>
      </c>
      <c r="E27" s="19">
        <f>'실행계획'!I27</f>
        <v/>
      </c>
      <c r="F27" s="19">
        <f>'실행계획'!J27</f>
        <v/>
      </c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</row>
    <row r="28" ht="18" customHeight="1">
      <c r="A28" s="19">
        <f>'실행계획'!A28</f>
        <v/>
      </c>
      <c r="B28" s="23">
        <f>'실행계획'!B28</f>
        <v/>
      </c>
      <c r="C28" s="23">
        <f>'실행계획'!D28</f>
        <v/>
      </c>
      <c r="D28" s="19">
        <f>'실행계획'!G28</f>
        <v/>
      </c>
      <c r="E28" s="19">
        <f>'실행계획'!I28</f>
        <v/>
      </c>
      <c r="F28" s="19">
        <f>'실행계획'!J28</f>
        <v/>
      </c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</row>
    <row r="29" ht="18" customHeight="1">
      <c r="A29" s="19">
        <f>'실행계획'!A29</f>
        <v/>
      </c>
      <c r="B29" s="23">
        <f>'실행계획'!B29</f>
        <v/>
      </c>
      <c r="C29" s="23">
        <f>'실행계획'!D29</f>
        <v/>
      </c>
      <c r="D29" s="19">
        <f>'실행계획'!G29</f>
        <v/>
      </c>
      <c r="E29" s="19">
        <f>'실행계획'!I29</f>
        <v/>
      </c>
      <c r="F29" s="19">
        <f>'실행계획'!J29</f>
        <v/>
      </c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</row>
    <row r="30" ht="18" customHeight="1">
      <c r="A30" s="19">
        <f>'실행계획'!A30</f>
        <v/>
      </c>
      <c r="B30" s="23">
        <f>'실행계획'!B30</f>
        <v/>
      </c>
      <c r="C30" s="23">
        <f>'실행계획'!D30</f>
        <v/>
      </c>
      <c r="D30" s="19">
        <f>'실행계획'!G30</f>
        <v/>
      </c>
      <c r="E30" s="19">
        <f>'실행계획'!I30</f>
        <v/>
      </c>
      <c r="F30" s="19">
        <f>'실행계획'!J30</f>
        <v/>
      </c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</row>
    <row r="31" ht="18" customHeight="1">
      <c r="A31" s="19">
        <f>'실행계획'!A31</f>
        <v/>
      </c>
      <c r="B31" s="23">
        <f>'실행계획'!B31</f>
        <v/>
      </c>
      <c r="C31" s="23">
        <f>'실행계획'!D31</f>
        <v/>
      </c>
      <c r="D31" s="19">
        <f>'실행계획'!G31</f>
        <v/>
      </c>
      <c r="E31" s="19">
        <f>'실행계획'!I31</f>
        <v/>
      </c>
      <c r="F31" s="19">
        <f>'실행계획'!J31</f>
        <v/>
      </c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</row>
    <row r="32" ht="18" customHeight="1">
      <c r="A32" s="19">
        <f>'실행계획'!A32</f>
        <v/>
      </c>
      <c r="B32" s="23">
        <f>'실행계획'!B32</f>
        <v/>
      </c>
      <c r="C32" s="23">
        <f>'실행계획'!D32</f>
        <v/>
      </c>
      <c r="D32" s="19">
        <f>'실행계획'!G32</f>
        <v/>
      </c>
      <c r="E32" s="19">
        <f>'실행계획'!I32</f>
        <v/>
      </c>
      <c r="F32" s="19">
        <f>'실행계획'!J32</f>
        <v/>
      </c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</row>
    <row r="33" ht="18" customHeight="1">
      <c r="A33" s="19">
        <f>'실행계획'!A33</f>
        <v/>
      </c>
      <c r="B33" s="23">
        <f>'실행계획'!B33</f>
        <v/>
      </c>
      <c r="C33" s="23">
        <f>'실행계획'!D33</f>
        <v/>
      </c>
      <c r="D33" s="19">
        <f>'실행계획'!G33</f>
        <v/>
      </c>
      <c r="E33" s="19">
        <f>'실행계획'!I33</f>
        <v/>
      </c>
      <c r="F33" s="19">
        <f>'실행계획'!J33</f>
        <v/>
      </c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</row>
    <row r="34" ht="18" customHeight="1">
      <c r="A34" s="19">
        <f>'실행계획'!A34</f>
        <v/>
      </c>
      <c r="B34" s="23">
        <f>'실행계획'!B34</f>
        <v/>
      </c>
      <c r="C34" s="23">
        <f>'실행계획'!D34</f>
        <v/>
      </c>
      <c r="D34" s="19">
        <f>'실행계획'!G34</f>
        <v/>
      </c>
      <c r="E34" s="19">
        <f>'실행계획'!I34</f>
        <v/>
      </c>
      <c r="F34" s="19">
        <f>'실행계획'!J34</f>
        <v/>
      </c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</row>
    <row r="35" ht="18" customHeight="1">
      <c r="A35" s="19">
        <f>'실행계획'!A35</f>
        <v/>
      </c>
      <c r="B35" s="23">
        <f>'실행계획'!B35</f>
        <v/>
      </c>
      <c r="C35" s="23">
        <f>'실행계획'!D35</f>
        <v/>
      </c>
      <c r="D35" s="19">
        <f>'실행계획'!G35</f>
        <v/>
      </c>
      <c r="E35" s="19">
        <f>'실행계획'!I35</f>
        <v/>
      </c>
      <c r="F35" s="19">
        <f>'실행계획'!J35</f>
        <v/>
      </c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</row>
    <row r="37">
      <c r="A37" s="3" t="inlineStr">
        <is>
          <t>범례</t>
        </is>
      </c>
    </row>
    <row r="38">
      <c r="A38" s="24" t="n"/>
      <c r="B38" s="18" t="inlineStr">
        <is>
          <t>P0 착수·진단</t>
        </is>
      </c>
    </row>
    <row r="39">
      <c r="A39" s="25" t="n"/>
      <c r="B39" s="18" t="inlineStr">
        <is>
          <t>P1 브랜드 기초 정비</t>
        </is>
      </c>
    </row>
    <row r="40">
      <c r="A40" s="26" t="n"/>
      <c r="B40" s="18" t="inlineStr">
        <is>
          <t>P2 콘셉트·비주얼</t>
        </is>
      </c>
    </row>
    <row r="41">
      <c r="A41" s="27" t="n"/>
      <c r="B41" s="18" t="inlineStr">
        <is>
          <t>P3 콘텐츠 운영</t>
        </is>
      </c>
    </row>
    <row r="42">
      <c r="A42" s="28" t="n"/>
      <c r="B42" s="18" t="inlineStr">
        <is>
          <t>P4 상품·경험 설계</t>
        </is>
      </c>
    </row>
    <row r="43">
      <c r="A43" s="29" t="n"/>
      <c r="B43" s="18" t="inlineStr">
        <is>
          <t>P5 노출 확장</t>
        </is>
      </c>
    </row>
    <row r="44">
      <c r="A44" s="30" t="n"/>
      <c r="B44" s="18" t="inlineStr">
        <is>
          <t>P6 성과 관리</t>
        </is>
      </c>
    </row>
  </sheetData>
  <conditionalFormatting sqref="G5:R35">
    <cfRule type="expression" priority="1" dxfId="4">
      <formula>AND($B5="P0 착수·진단",COLUMN(G5)-6&gt;=$E5,COLUMN(G5)-6&lt;=$F5)</formula>
    </cfRule>
    <cfRule type="expression" priority="2" dxfId="5">
      <formula>AND($B5="P1 브랜드 기초 정비",COLUMN(G5)-6&gt;=$E5,COLUMN(G5)-6&lt;=$F5)</formula>
    </cfRule>
    <cfRule type="expression" priority="3" dxfId="6">
      <formula>AND($B5="P2 콘셉트·비주얼",COLUMN(G5)-6&gt;=$E5,COLUMN(G5)-6&lt;=$F5)</formula>
    </cfRule>
    <cfRule type="expression" priority="4" dxfId="7">
      <formula>AND($B5="P3 콘텐츠 운영",COLUMN(G5)-6&gt;=$E5,COLUMN(G5)-6&lt;=$F5)</formula>
    </cfRule>
    <cfRule type="expression" priority="5" dxfId="8">
      <formula>AND($B5="P4 상품·경험 설계",COLUMN(G5)-6&gt;=$E5,COLUMN(G5)-6&lt;=$F5)</formula>
    </cfRule>
    <cfRule type="expression" priority="6" dxfId="9">
      <formula>AND($B5="P5 노출 확장",COLUMN(G5)-6&gt;=$E5,COLUMN(G5)-6&lt;=$F5)</formula>
    </cfRule>
    <cfRule type="expression" priority="7" dxfId="10">
      <formula>AND($B5="P6 성과 관리",COLUMN(G5)-6&gt;=$E5,COLUMN(G5)-6&lt;=$F5)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K1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10" customWidth="1" min="3" max="3"/>
    <col width="10" customWidth="1" min="4" max="4"/>
    <col width="12" customWidth="1" min="5" max="5"/>
    <col width="8" customWidth="1" min="6" max="6"/>
    <col width="8" customWidth="1" min="7" max="7"/>
    <col width="22" customWidth="1" min="8" max="8"/>
    <col width="10" customWidth="1" min="9" max="9"/>
    <col width="13" customWidth="1" min="10" max="10"/>
    <col width="9" customWidth="1" min="11" max="11"/>
  </cols>
  <sheetData>
    <row r="1">
      <c r="A1" s="1" t="inlineStr">
        <is>
          <t>콘텐츠 캘린더 (M3~M12)</t>
        </is>
      </c>
    </row>
    <row r="2">
      <c r="A2" s="2" t="inlineStr">
        <is>
          <t>발행 수는 계획값 · 실제 발행 수는 직접 입력</t>
        </is>
      </c>
    </row>
    <row r="4">
      <c r="A4" s="6" t="inlineStr">
        <is>
          <t>월</t>
        </is>
      </c>
      <c r="B4" s="6" t="inlineStr">
        <is>
          <t>월간 테마</t>
        </is>
      </c>
      <c r="C4" s="6" t="inlineStr">
        <is>
          <t>인스타 릴스</t>
        </is>
      </c>
      <c r="D4" s="6" t="inlineStr">
        <is>
          <t>인스타 피드</t>
        </is>
      </c>
      <c r="E4" s="6" t="inlineStr">
        <is>
          <t>건축 비하인드</t>
        </is>
      </c>
      <c r="F4" s="6" t="inlineStr">
        <is>
          <t>블로그</t>
        </is>
      </c>
      <c r="G4" s="6" t="inlineStr">
        <is>
          <t>유튜브</t>
        </is>
      </c>
      <c r="H4" s="6" t="inlineStr">
        <is>
          <t>PR/이벤트</t>
        </is>
      </c>
      <c r="I4" s="6" t="inlineStr">
        <is>
          <t>계획 합계</t>
        </is>
      </c>
      <c r="J4" s="6" t="inlineStr">
        <is>
          <t>실제 발행(입력)</t>
        </is>
      </c>
      <c r="K4" s="6" t="inlineStr">
        <is>
          <t>달성률</t>
        </is>
      </c>
    </row>
    <row r="5">
      <c r="A5" s="19" t="inlineStr">
        <is>
          <t>M3</t>
        </is>
      </c>
      <c r="B5" s="8" t="inlineStr">
        <is>
          <t>리브랜딩 런칭 — 새 콘셉트·명칭 공개</t>
        </is>
      </c>
      <c r="C5" s="19" t="n">
        <v>8</v>
      </c>
      <c r="D5" s="19" t="n">
        <v>4</v>
      </c>
      <c r="E5" s="19" t="n">
        <v>0</v>
      </c>
      <c r="F5" s="19" t="n">
        <v>4</v>
      </c>
      <c r="G5" s="19" t="n">
        <v>0</v>
      </c>
      <c r="H5" s="8" t="inlineStr">
        <is>
          <t>-</t>
        </is>
      </c>
      <c r="I5" s="19">
        <f>SUM(C5:G5)</f>
        <v/>
      </c>
      <c r="J5" s="20" t="inlineStr"/>
      <c r="K5" s="31">
        <f>IF(J5="","",J5/I5)</f>
        <v/>
      </c>
    </row>
    <row r="6">
      <c r="A6" s="19" t="inlineStr">
        <is>
          <t>M4</t>
        </is>
      </c>
      <c r="B6" s="8" t="inlineStr">
        <is>
          <t>체임버홀 — 9.5m 층고와 자연광</t>
        </is>
      </c>
      <c r="C6" s="19" t="n">
        <v>8</v>
      </c>
      <c r="D6" s="19" t="n">
        <v>4</v>
      </c>
      <c r="E6" s="19" t="n">
        <v>2</v>
      </c>
      <c r="F6" s="19" t="n">
        <v>4</v>
      </c>
      <c r="G6" s="19" t="n">
        <v>0</v>
      </c>
      <c r="H6" s="8" t="inlineStr">
        <is>
          <t>보도자료: 리브랜딩</t>
        </is>
      </c>
      <c r="I6" s="19">
        <f>SUM(C6:G6)</f>
        <v/>
      </c>
      <c r="J6" s="20" t="inlineStr"/>
      <c r="K6" s="31">
        <f>IF(J6="","",J6/I6)</f>
        <v/>
      </c>
    </row>
    <row r="7">
      <c r="A7" s="19" t="inlineStr">
        <is>
          <t>M5</t>
        </is>
      </c>
      <c r="B7" s="8" t="inlineStr">
        <is>
          <t>그라스 가든 — 봄·이브닝 웨딩</t>
        </is>
      </c>
      <c r="C7" s="19" t="n">
        <v>8</v>
      </c>
      <c r="D7" s="19" t="n">
        <v>4</v>
      </c>
      <c r="E7" s="19" t="n">
        <v>2</v>
      </c>
      <c r="F7" s="19" t="n">
        <v>4</v>
      </c>
      <c r="G7" s="19" t="n">
        <v>1</v>
      </c>
      <c r="H7" s="8" t="inlineStr">
        <is>
          <t>쇼케이스 #1</t>
        </is>
      </c>
      <c r="I7" s="19">
        <f>SUM(C7:G7)</f>
        <v/>
      </c>
      <c r="J7" s="20" t="inlineStr"/>
      <c r="K7" s="31">
        <f>IF(J7="","",J7/I7)</f>
        <v/>
      </c>
    </row>
    <row r="8">
      <c r="A8" s="19" t="inlineStr">
        <is>
          <t>M6</t>
        </is>
      </c>
      <c r="B8" s="8" t="inlineStr">
        <is>
          <t>시그니처 패키지 공개</t>
        </is>
      </c>
      <c r="C8" s="19" t="n">
        <v>8</v>
      </c>
      <c r="D8" s="19" t="n">
        <v>4</v>
      </c>
      <c r="E8" s="19" t="n">
        <v>2</v>
      </c>
      <c r="F8" s="19" t="n">
        <v>4</v>
      </c>
      <c r="G8" s="19" t="n">
        <v>0</v>
      </c>
      <c r="H8" s="8" t="inlineStr">
        <is>
          <t>-</t>
        </is>
      </c>
      <c r="I8" s="19">
        <f>SUM(C8:G8)</f>
        <v/>
      </c>
      <c r="J8" s="20" t="inlineStr"/>
      <c r="K8" s="31">
        <f>IF(J8="","",J8/I8)</f>
        <v/>
      </c>
    </row>
    <row r="9">
      <c r="A9" s="19" t="inlineStr">
        <is>
          <t>M7</t>
        </is>
      </c>
      <c r="B9" s="8" t="inlineStr">
        <is>
          <t>마제스틱 볼룸 — 샹들리에와 연회</t>
        </is>
      </c>
      <c r="C9" s="19" t="n">
        <v>8</v>
      </c>
      <c r="D9" s="19" t="n">
        <v>4</v>
      </c>
      <c r="E9" s="19" t="n">
        <v>2</v>
      </c>
      <c r="F9" s="19" t="n">
        <v>4</v>
      </c>
      <c r="G9" s="19" t="n">
        <v>0</v>
      </c>
      <c r="H9" s="8" t="inlineStr">
        <is>
          <t>보도자료: 패키지</t>
        </is>
      </c>
      <c r="I9" s="19">
        <f>SUM(C9:G9)</f>
        <v/>
      </c>
      <c r="J9" s="20" t="inlineStr"/>
      <c r="K9" s="31">
        <f>IF(J9="","",J9/I9)</f>
        <v/>
      </c>
    </row>
    <row r="10">
      <c r="A10" s="19" t="inlineStr">
        <is>
          <t>M8</t>
        </is>
      </c>
      <c r="B10" s="8" t="inlineStr">
        <is>
          <t>비수기 — 실내 웨딩·셰프 코스</t>
        </is>
      </c>
      <c r="C10" s="19" t="n">
        <v>8</v>
      </c>
      <c r="D10" s="19" t="n">
        <v>4</v>
      </c>
      <c r="E10" s="19" t="n">
        <v>2</v>
      </c>
      <c r="F10" s="19" t="n">
        <v>4</v>
      </c>
      <c r="G10" s="19" t="n">
        <v>1</v>
      </c>
      <c r="H10" s="8" t="inlineStr">
        <is>
          <t>쇼케이스 #2</t>
        </is>
      </c>
      <c r="I10" s="19">
        <f>SUM(C10:G10)</f>
        <v/>
      </c>
      <c r="J10" s="20" t="inlineStr"/>
      <c r="K10" s="31">
        <f>IF(J10="","",J10/I10)</f>
        <v/>
      </c>
    </row>
    <row r="11">
      <c r="A11" s="19" t="inlineStr">
        <is>
          <t>M9</t>
        </is>
      </c>
      <c r="B11" s="8" t="inlineStr">
        <is>
          <t>가을 가든 웨딩</t>
        </is>
      </c>
      <c r="C11" s="19" t="n">
        <v>8</v>
      </c>
      <c r="D11" s="19" t="n">
        <v>4</v>
      </c>
      <c r="E11" s="19" t="n">
        <v>2</v>
      </c>
      <c r="F11" s="19" t="n">
        <v>4</v>
      </c>
      <c r="G11" s="19" t="n">
        <v>0</v>
      </c>
      <c r="H11" s="8" t="inlineStr">
        <is>
          <t>브랜드 행사 제휴</t>
        </is>
      </c>
      <c r="I11" s="19">
        <f>SUM(C11:G11)</f>
        <v/>
      </c>
      <c r="J11" s="20" t="inlineStr"/>
      <c r="K11" s="31">
        <f>IF(J11="","",J11/I11)</f>
        <v/>
      </c>
    </row>
    <row r="12">
      <c r="A12" s="19" t="inlineStr">
        <is>
          <t>M10</t>
        </is>
      </c>
      <c r="B12" s="8" t="inlineStr">
        <is>
          <t>실제 커플 이야기</t>
        </is>
      </c>
      <c r="C12" s="19" t="n">
        <v>8</v>
      </c>
      <c r="D12" s="19" t="n">
        <v>4</v>
      </c>
      <c r="E12" s="19" t="n">
        <v>0</v>
      </c>
      <c r="F12" s="19" t="n">
        <v>4</v>
      </c>
      <c r="G12" s="19" t="n">
        <v>0</v>
      </c>
      <c r="H12" s="8" t="inlineStr">
        <is>
          <t>보도자료</t>
        </is>
      </c>
      <c r="I12" s="19">
        <f>SUM(C12:G12)</f>
        <v/>
      </c>
      <c r="J12" s="20" t="inlineStr"/>
      <c r="K12" s="31">
        <f>IF(J12="","",J12/I12)</f>
        <v/>
      </c>
    </row>
    <row r="13">
      <c r="A13" s="19" t="inlineStr">
        <is>
          <t>M11</t>
        </is>
      </c>
      <c r="B13" s="8" t="inlineStr">
        <is>
          <t>브리제 플라워팀 비하인드</t>
        </is>
      </c>
      <c r="C13" s="19" t="n">
        <v>8</v>
      </c>
      <c r="D13" s="19" t="n">
        <v>4</v>
      </c>
      <c r="E13" s="19" t="n">
        <v>0</v>
      </c>
      <c r="F13" s="19" t="n">
        <v>4</v>
      </c>
      <c r="G13" s="19" t="n">
        <v>1</v>
      </c>
      <c r="H13" s="8" t="inlineStr">
        <is>
          <t>쇼케이스 #3</t>
        </is>
      </c>
      <c r="I13" s="19">
        <f>SUM(C13:G13)</f>
        <v/>
      </c>
      <c r="J13" s="20" t="inlineStr"/>
      <c r="K13" s="31">
        <f>IF(J13="","",J13/I13)</f>
        <v/>
      </c>
    </row>
    <row r="14">
      <c r="A14" s="19" t="inlineStr">
        <is>
          <t>M12</t>
        </is>
      </c>
      <c r="B14" s="8" t="inlineStr">
        <is>
          <t>연말 결산·차년도 예약</t>
        </is>
      </c>
      <c r="C14" s="19" t="n">
        <v>8</v>
      </c>
      <c r="D14" s="19" t="n">
        <v>4</v>
      </c>
      <c r="E14" s="19" t="n">
        <v>0</v>
      </c>
      <c r="F14" s="19" t="n">
        <v>4</v>
      </c>
      <c r="G14" s="19" t="n">
        <v>1</v>
      </c>
      <c r="H14" s="8" t="inlineStr">
        <is>
          <t>쇼케이스 #4</t>
        </is>
      </c>
      <c r="I14" s="19">
        <f>SUM(C14:G14)</f>
        <v/>
      </c>
      <c r="J14" s="20" t="inlineStr"/>
      <c r="K14" s="31">
        <f>IF(J14="","",J14/I14)</f>
        <v/>
      </c>
    </row>
    <row r="15">
      <c r="A15" s="32" t="inlineStr">
        <is>
          <t>합계</t>
        </is>
      </c>
      <c r="B15" s="33" t="n"/>
      <c r="C15" s="32">
        <f>SUM(C5:C14)</f>
        <v/>
      </c>
      <c r="D15" s="32">
        <f>SUM(D5:D14)</f>
        <v/>
      </c>
      <c r="E15" s="32">
        <f>SUM(E5:E14)</f>
        <v/>
      </c>
      <c r="F15" s="32">
        <f>SUM(F5:F14)</f>
        <v/>
      </c>
      <c r="G15" s="32">
        <f>SUM(G5:G14)</f>
        <v/>
      </c>
      <c r="H15" s="33" t="n"/>
      <c r="I15" s="32">
        <f>SUM(I5:I14)</f>
        <v/>
      </c>
      <c r="J15" s="32">
        <f>SUM(J5:J14)</f>
        <v/>
      </c>
      <c r="K15" s="32" t="n"/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L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40" customWidth="1" min="3" max="3"/>
    <col width="26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0" customWidth="1" min="12" max="12"/>
  </cols>
  <sheetData>
    <row r="1">
      <c r="A1" s="1" t="inlineStr">
        <is>
          <t>KPI 정의 및 목표</t>
        </is>
      </c>
    </row>
    <row r="2">
      <c r="A2" s="2" t="inlineStr">
        <is>
          <t>기준값은 P0 진단에서 측정 · 목표는 클라이언트와 합의 후 입력 (임의 수치 미기재)</t>
        </is>
      </c>
    </row>
    <row r="4">
      <c r="A4" s="6" t="inlineStr">
        <is>
          <t>구분</t>
        </is>
      </c>
      <c r="B4" s="6" t="inlineStr">
        <is>
          <t>지표</t>
        </is>
      </c>
      <c r="C4" s="6" t="inlineStr">
        <is>
          <t>정의/계산식</t>
        </is>
      </c>
      <c r="D4" s="6" t="inlineStr">
        <is>
          <t>측정 도구</t>
        </is>
      </c>
      <c r="E4" s="6" t="inlineStr">
        <is>
          <t>측정 주기</t>
        </is>
      </c>
      <c r="F4" s="6" t="inlineStr">
        <is>
          <t>담당</t>
        </is>
      </c>
      <c r="G4" s="6" t="inlineStr">
        <is>
          <t>기준값(입력)</t>
        </is>
      </c>
      <c r="H4" s="6" t="inlineStr">
        <is>
          <t>3개월 목표</t>
        </is>
      </c>
      <c r="I4" s="6" t="inlineStr">
        <is>
          <t>6개월 목표</t>
        </is>
      </c>
      <c r="J4" s="6" t="inlineStr">
        <is>
          <t>12개월 목표</t>
        </is>
      </c>
      <c r="K4" s="6" t="inlineStr">
        <is>
          <t>현재값(입력)</t>
        </is>
      </c>
      <c r="L4" s="6" t="inlineStr">
        <is>
          <t>기준 대비</t>
        </is>
      </c>
    </row>
    <row r="5">
      <c r="A5" s="8" t="inlineStr">
        <is>
          <t>브랜드</t>
        </is>
      </c>
      <c r="B5" s="8" t="inlineStr">
        <is>
          <t>브랜드 검색량</t>
        </is>
      </c>
      <c r="C5" s="8" t="inlineStr">
        <is>
          <t>네이버 '라움 웨딩' 등 브랜드 키워드 월 검색수</t>
        </is>
      </c>
      <c r="D5" s="8" t="inlineStr">
        <is>
          <t>네이버 데이터랩/검색광고 키워드도구</t>
        </is>
      </c>
      <c r="E5" s="8" t="inlineStr">
        <is>
          <t>월</t>
        </is>
      </c>
      <c r="F5" s="8" t="inlineStr">
        <is>
          <t>대행사</t>
        </is>
      </c>
      <c r="G5" s="12" t="n"/>
      <c r="H5" s="12" t="n"/>
      <c r="I5" s="12" t="n"/>
      <c r="J5" s="12" t="n"/>
      <c r="K5" s="12" t="n"/>
      <c r="L5" s="34">
        <f>IF(OR(G5="",K5=""),"",IF(G5=0,"",K5/G5-1))</f>
        <v/>
      </c>
    </row>
    <row r="6">
      <c r="A6" s="8" t="inlineStr">
        <is>
          <t>브랜드</t>
        </is>
      </c>
      <c r="B6" s="8" t="inlineStr">
        <is>
          <t>인스타 팔로워</t>
        </is>
      </c>
      <c r="C6" s="8" t="inlineStr">
        <is>
          <t>공식 계정 팔로워 수</t>
        </is>
      </c>
      <c r="D6" s="8" t="inlineStr">
        <is>
          <t>인스타 인사이트</t>
        </is>
      </c>
      <c r="E6" s="8" t="inlineStr">
        <is>
          <t>월</t>
        </is>
      </c>
      <c r="F6" s="8" t="inlineStr">
        <is>
          <t>대행사</t>
        </is>
      </c>
      <c r="G6" s="12" t="n"/>
      <c r="H6" s="12" t="n"/>
      <c r="I6" s="12" t="n"/>
      <c r="J6" s="12" t="n"/>
      <c r="K6" s="12" t="n"/>
      <c r="L6" s="34">
        <f>IF(OR(G6="",K6=""),"",IF(G6=0,"",K6/G6-1))</f>
        <v/>
      </c>
    </row>
    <row r="7">
      <c r="A7" s="8" t="inlineStr">
        <is>
          <t>브랜드</t>
        </is>
      </c>
      <c r="B7" s="8" t="inlineStr">
        <is>
          <t>인스타 저장·공유 수</t>
        </is>
      </c>
      <c r="C7" s="8" t="inlineStr">
        <is>
          <t>월간 게시물 저장+공유 합계 (콘텐츠 매력도)</t>
        </is>
      </c>
      <c r="D7" s="8" t="inlineStr">
        <is>
          <t>인스타 인사이트</t>
        </is>
      </c>
      <c r="E7" s="8" t="inlineStr">
        <is>
          <t>월</t>
        </is>
      </c>
      <c r="F7" s="8" t="inlineStr">
        <is>
          <t>대행사</t>
        </is>
      </c>
      <c r="G7" s="12" t="n"/>
      <c r="H7" s="12" t="n"/>
      <c r="I7" s="12" t="n"/>
      <c r="J7" s="12" t="n"/>
      <c r="K7" s="12" t="n"/>
      <c r="L7" s="34">
        <f>IF(OR(G7="",K7=""),"",IF(G7=0,"",K7/G7-1))</f>
        <v/>
      </c>
    </row>
    <row r="8">
      <c r="A8" s="8" t="inlineStr">
        <is>
          <t>브랜드</t>
        </is>
      </c>
      <c r="B8" s="8" t="inlineStr">
        <is>
          <t>플레이스 평점·리뷰 수</t>
        </is>
      </c>
      <c r="C8" s="8" t="inlineStr">
        <is>
          <t>네이버 플레이스 평점 / 누적 리뷰 수</t>
        </is>
      </c>
      <c r="D8" s="8" t="inlineStr">
        <is>
          <t>네이버 플레이스</t>
        </is>
      </c>
      <c r="E8" s="8" t="inlineStr">
        <is>
          <t>월</t>
        </is>
      </c>
      <c r="F8" s="8" t="inlineStr">
        <is>
          <t>공동</t>
        </is>
      </c>
      <c r="G8" s="12" t="n"/>
      <c r="H8" s="12" t="n"/>
      <c r="I8" s="12" t="n"/>
      <c r="J8" s="12" t="n"/>
      <c r="K8" s="12" t="n"/>
      <c r="L8" s="34">
        <f>IF(OR(G8="",K8=""),"",IF(G8=0,"",K8/G8-1))</f>
        <v/>
      </c>
    </row>
    <row r="9">
      <c r="A9" s="8" t="inlineStr">
        <is>
          <t>영업</t>
        </is>
      </c>
      <c r="B9" s="8" t="inlineStr">
        <is>
          <t>월 문의 수</t>
        </is>
      </c>
      <c r="C9" s="8" t="inlineStr">
        <is>
          <t>전화·폼·플랫폼 문의 합계 (경로별 태깅)</t>
        </is>
      </c>
      <c r="D9" s="8" t="inlineStr">
        <is>
          <t>문의 관리 시트</t>
        </is>
      </c>
      <c r="E9" s="8" t="inlineStr">
        <is>
          <t>월</t>
        </is>
      </c>
      <c r="F9" s="8" t="inlineStr">
        <is>
          <t>라움</t>
        </is>
      </c>
      <c r="G9" s="12" t="n"/>
      <c r="H9" s="12" t="n"/>
      <c r="I9" s="12" t="n"/>
      <c r="J9" s="12" t="n"/>
      <c r="K9" s="12" t="n"/>
      <c r="L9" s="34">
        <f>IF(OR(G9="",K9=""),"",IF(G9=0,"",K9/G9-1))</f>
        <v/>
      </c>
    </row>
    <row r="10">
      <c r="A10" s="8" t="inlineStr">
        <is>
          <t>영업</t>
        </is>
      </c>
      <c r="B10" s="8" t="inlineStr">
        <is>
          <t>월 투어 수</t>
        </is>
      </c>
      <c r="C10" s="8" t="inlineStr">
        <is>
          <t>실제 방문 투어 건수</t>
        </is>
      </c>
      <c r="D10" s="8" t="inlineStr">
        <is>
          <t>문의 관리 시트</t>
        </is>
      </c>
      <c r="E10" s="8" t="inlineStr">
        <is>
          <t>월</t>
        </is>
      </c>
      <c r="F10" s="8" t="inlineStr">
        <is>
          <t>라움</t>
        </is>
      </c>
      <c r="G10" s="12" t="n"/>
      <c r="H10" s="12" t="n"/>
      <c r="I10" s="12" t="n"/>
      <c r="J10" s="12" t="n"/>
      <c r="K10" s="12" t="n"/>
      <c r="L10" s="34">
        <f>IF(OR(G10="",K10=""),"",IF(G10=0,"",K10/G10-1))</f>
        <v/>
      </c>
    </row>
    <row r="11">
      <c r="A11" s="8" t="inlineStr">
        <is>
          <t>영업</t>
        </is>
      </c>
      <c r="B11" s="8" t="inlineStr">
        <is>
          <t>투어→계약 전환율</t>
        </is>
      </c>
      <c r="C11" s="8" t="inlineStr">
        <is>
          <t>계약 수 ÷ 투어 수</t>
        </is>
      </c>
      <c r="D11" s="8" t="inlineStr">
        <is>
          <t>문의 관리 시트</t>
        </is>
      </c>
      <c r="E11" s="8" t="inlineStr">
        <is>
          <t>월</t>
        </is>
      </c>
      <c r="F11" s="8" t="inlineStr">
        <is>
          <t>라움</t>
        </is>
      </c>
      <c r="G11" s="12" t="n"/>
      <c r="H11" s="12" t="n"/>
      <c r="I11" s="12" t="n"/>
      <c r="J11" s="12" t="n"/>
      <c r="K11" s="12" t="n"/>
      <c r="L11" s="34">
        <f>IF(OR(G11="",K11=""),"",IF(G11=0,"",K11/G11-1))</f>
        <v/>
      </c>
    </row>
    <row r="12">
      <c r="A12" s="8" t="inlineStr">
        <is>
          <t>매출</t>
        </is>
      </c>
      <c r="B12" s="8" t="inlineStr">
        <is>
          <t>평균 계약 단가</t>
        </is>
      </c>
      <c r="C12" s="8" t="inlineStr">
        <is>
          <t>총 계약 금액 ÷ 계약 수</t>
        </is>
      </c>
      <c r="D12" s="8" t="inlineStr">
        <is>
          <t>라움 내부 데이터</t>
        </is>
      </c>
      <c r="E12" s="8" t="inlineStr">
        <is>
          <t>분기</t>
        </is>
      </c>
      <c r="F12" s="8" t="inlineStr">
        <is>
          <t>라움</t>
        </is>
      </c>
      <c r="G12" s="12" t="n"/>
      <c r="H12" s="12" t="n"/>
      <c r="I12" s="12" t="n"/>
      <c r="J12" s="12" t="n"/>
      <c r="K12" s="12" t="n"/>
      <c r="L12" s="34">
        <f>IF(OR(G12="",K12=""),"",IF(G12=0,"",K12/G12-1))</f>
        <v/>
      </c>
    </row>
    <row r="13">
      <c r="A13" s="8" t="inlineStr">
        <is>
          <t>매출</t>
        </is>
      </c>
      <c r="B13" s="8" t="inlineStr">
        <is>
          <t>평균 할인율</t>
        </is>
      </c>
      <c r="C13" s="8" t="inlineStr">
        <is>
          <t>(정가-계약가) ÷ 정가 평균</t>
        </is>
      </c>
      <c r="D13" s="8" t="inlineStr">
        <is>
          <t>라움 내부 데이터</t>
        </is>
      </c>
      <c r="E13" s="8" t="inlineStr">
        <is>
          <t>분기</t>
        </is>
      </c>
      <c r="F13" s="8" t="inlineStr">
        <is>
          <t>라움</t>
        </is>
      </c>
      <c r="G13" s="12" t="n"/>
      <c r="H13" s="12" t="n"/>
      <c r="I13" s="12" t="n"/>
      <c r="J13" s="12" t="n"/>
      <c r="K13" s="12" t="n"/>
      <c r="L13" s="34">
        <f>IF(OR(G13="",K13=""),"",IF(G13=0,"",K13/G13-1))</f>
        <v/>
      </c>
    </row>
    <row r="14">
      <c r="A14" s="8" t="inlineStr">
        <is>
          <t>효율</t>
        </is>
      </c>
      <c r="B14" s="8" t="inlineStr">
        <is>
          <t>투어 예약당 광고비</t>
        </is>
      </c>
      <c r="C14" s="8" t="inlineStr">
        <is>
          <t>광고비 ÷ 광고 경로 투어 예약 수</t>
        </is>
      </c>
      <c r="D14" s="8" t="inlineStr">
        <is>
          <t>광고 관리자+문의 시트</t>
        </is>
      </c>
      <c r="E14" s="8" t="inlineStr">
        <is>
          <t>월</t>
        </is>
      </c>
      <c r="F14" s="8" t="inlineStr">
        <is>
          <t>대행사</t>
        </is>
      </c>
      <c r="G14" s="12" t="n"/>
      <c r="H14" s="12" t="n"/>
      <c r="I14" s="12" t="n"/>
      <c r="J14" s="12" t="n"/>
      <c r="K14" s="12" t="n"/>
      <c r="L14" s="34">
        <f>IF(OR(G14="",K14=""),"",IF(G14=0,"",K14/G14-1))</f>
        <v/>
      </c>
    </row>
    <row r="16">
      <c r="A16" s="35" t="inlineStr">
        <is>
          <t>입력 예시: 기준값 '1,200'(월 검색수), 전환율은 '0.25'처럼 소수로 입력하면 25%로 계산됩니다. 할인율·전환율은 낮아지거나 높아지는 방향을 함께 확인하세요.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8" customWidth="1" min="4" max="4"/>
    <col width="20" customWidth="1" min="5" max="5"/>
  </cols>
  <sheetData>
    <row r="1">
      <c r="A1" s="1" t="inlineStr">
        <is>
          <t>역할분담 (RACI)</t>
        </is>
      </c>
    </row>
    <row r="2">
      <c r="A2" s="2" t="inlineStr">
        <is>
          <t>R=실행  A=최종 승인  C=협의  I=공유 · 성과 책임 범위를 제안 단계에서 명확히</t>
        </is>
      </c>
    </row>
    <row r="4">
      <c r="A4" s="6" t="inlineStr">
        <is>
          <t>업무</t>
        </is>
      </c>
      <c r="B4" s="6" t="inlineStr">
        <is>
          <t>대행사</t>
        </is>
      </c>
      <c r="C4" s="6" t="inlineStr">
        <is>
          <t>라움 마케팅 담당</t>
        </is>
      </c>
      <c r="D4" s="6" t="inlineStr">
        <is>
          <t>라움 운영(투어·연회)</t>
        </is>
      </c>
      <c r="E4" s="6" t="inlineStr">
        <is>
          <t>라움 대표/의사결정자</t>
        </is>
      </c>
    </row>
    <row r="5">
      <c r="A5" s="8" t="inlineStr">
        <is>
          <t>공식 명칭·콘셉트 확정</t>
        </is>
      </c>
      <c r="B5" s="19" t="inlineStr">
        <is>
          <t>R</t>
        </is>
      </c>
      <c r="C5" s="19" t="inlineStr">
        <is>
          <t>C</t>
        </is>
      </c>
      <c r="D5" s="19" t="inlineStr">
        <is>
          <t>I</t>
        </is>
      </c>
      <c r="E5" s="19" t="inlineStr">
        <is>
          <t>A</t>
        </is>
      </c>
    </row>
    <row r="6">
      <c r="A6" s="8" t="inlineStr">
        <is>
          <t>채널 정비(플레이스·플랫폼)</t>
        </is>
      </c>
      <c r="B6" s="19" t="inlineStr">
        <is>
          <t>R</t>
        </is>
      </c>
      <c r="C6" s="19" t="inlineStr">
        <is>
          <t>A</t>
        </is>
      </c>
      <c r="D6" s="19" t="inlineStr">
        <is>
          <t>I</t>
        </is>
      </c>
      <c r="E6" s="19" t="inlineStr">
        <is>
          <t>I</t>
        </is>
      </c>
    </row>
    <row r="7">
      <c r="A7" s="8" t="inlineStr">
        <is>
          <t>콘텐츠 제작·발행</t>
        </is>
      </c>
      <c r="B7" s="19" t="inlineStr">
        <is>
          <t>R</t>
        </is>
      </c>
      <c r="C7" s="19" t="inlineStr">
        <is>
          <t>A</t>
        </is>
      </c>
      <c r="D7" s="19" t="inlineStr">
        <is>
          <t>C</t>
        </is>
      </c>
      <c r="E7" s="19" t="inlineStr">
        <is>
          <t>I</t>
        </is>
      </c>
    </row>
    <row r="8">
      <c r="A8" s="8" t="inlineStr">
        <is>
          <t>화보·필름 촬영</t>
        </is>
      </c>
      <c r="B8" s="19" t="inlineStr">
        <is>
          <t>R</t>
        </is>
      </c>
      <c r="C8" s="19" t="inlineStr">
        <is>
          <t>A</t>
        </is>
      </c>
      <c r="D8" s="19" t="inlineStr">
        <is>
          <t>C</t>
        </is>
      </c>
      <c r="E8" s="19" t="inlineStr">
        <is>
          <t>I</t>
        </is>
      </c>
    </row>
    <row r="9">
      <c r="A9" s="8" t="inlineStr">
        <is>
          <t>광고 집행·예산 배분</t>
        </is>
      </c>
      <c r="B9" s="19" t="inlineStr">
        <is>
          <t>R</t>
        </is>
      </c>
      <c r="C9" s="19" t="inlineStr">
        <is>
          <t>A</t>
        </is>
      </c>
      <c r="D9" s="19" t="inlineStr">
        <is>
          <t>I</t>
        </is>
      </c>
      <c r="E9" s="19" t="inlineStr">
        <is>
          <t>C</t>
        </is>
      </c>
    </row>
    <row r="10">
      <c r="A10" s="8" t="inlineStr">
        <is>
          <t>시그니처 패키지·가격</t>
        </is>
      </c>
      <c r="B10" s="19" t="inlineStr">
        <is>
          <t>C</t>
        </is>
      </c>
      <c r="C10" s="19" t="inlineStr">
        <is>
          <t>R</t>
        </is>
      </c>
      <c r="D10" s="19" t="inlineStr">
        <is>
          <t>C</t>
        </is>
      </c>
      <c r="E10" s="19" t="inlineStr">
        <is>
          <t>A</t>
        </is>
      </c>
    </row>
    <row r="11">
      <c r="A11" s="8" t="inlineStr">
        <is>
          <t>1:1 투어 운영</t>
        </is>
      </c>
      <c r="B11" s="19" t="inlineStr">
        <is>
          <t>C</t>
        </is>
      </c>
      <c r="C11" s="19" t="inlineStr">
        <is>
          <t>C</t>
        </is>
      </c>
      <c r="D11" s="19" t="inlineStr">
        <is>
          <t>R</t>
        </is>
      </c>
      <c r="E11" s="19" t="inlineStr">
        <is>
          <t>A</t>
        </is>
      </c>
    </row>
    <row r="12">
      <c r="A12" s="8" t="inlineStr">
        <is>
          <t>쇼케이스 운영</t>
        </is>
      </c>
      <c r="B12" s="19" t="inlineStr">
        <is>
          <t>C</t>
        </is>
      </c>
      <c r="C12" s="19" t="inlineStr">
        <is>
          <t>R</t>
        </is>
      </c>
      <c r="D12" s="19" t="inlineStr">
        <is>
          <t>R</t>
        </is>
      </c>
      <c r="E12" s="19" t="inlineStr">
        <is>
          <t>A</t>
        </is>
      </c>
    </row>
    <row r="13">
      <c r="A13" s="8" t="inlineStr">
        <is>
          <t>문의·계약 데이터 기록</t>
        </is>
      </c>
      <c r="B13" s="19" t="inlineStr">
        <is>
          <t>I</t>
        </is>
      </c>
      <c r="C13" s="19" t="inlineStr">
        <is>
          <t>R</t>
        </is>
      </c>
      <c r="D13" s="19" t="inlineStr">
        <is>
          <t>R</t>
        </is>
      </c>
      <c r="E13" s="19" t="inlineStr">
        <is>
          <t>I</t>
        </is>
      </c>
    </row>
    <row r="14">
      <c r="A14" s="8" t="inlineStr">
        <is>
          <t>월간 리포트</t>
        </is>
      </c>
      <c r="B14" s="19" t="inlineStr">
        <is>
          <t>R</t>
        </is>
      </c>
      <c r="C14" s="19" t="inlineStr">
        <is>
          <t>A</t>
        </is>
      </c>
      <c r="D14" s="19" t="inlineStr">
        <is>
          <t>I</t>
        </is>
      </c>
      <c r="E14" s="19" t="inlineStr">
        <is>
          <t>I</t>
        </is>
      </c>
    </row>
    <row r="15">
      <c r="A15" s="8" t="inlineStr">
        <is>
          <t>외부 제휴·대관</t>
        </is>
      </c>
      <c r="B15" s="19" t="inlineStr">
        <is>
          <t>C</t>
        </is>
      </c>
      <c r="C15" s="19" t="inlineStr">
        <is>
          <t>R</t>
        </is>
      </c>
      <c r="D15" s="19" t="inlineStr">
        <is>
          <t>C</t>
        </is>
      </c>
      <c r="E15" s="19" t="inlineStr">
        <is>
          <t>A</t>
        </is>
      </c>
    </row>
  </sheetData>
  <conditionalFormatting sqref="B5:E15">
    <cfRule type="cellIs" priority="1" operator="equal" dxfId="1">
      <formula>"R"</formula>
    </cfRule>
    <cfRule type="cellIs" priority="2" operator="equal" dxfId="11">
      <formula>"A"</formula>
    </cfRule>
    <cfRule type="cellIs" priority="3" operator="equal" dxfId="12">
      <formula>"C"</formula>
    </cfRule>
    <cfRule type="cellIs" priority="4" operator="equal" dxfId="13">
      <formula>"I"</formula>
    </cfRule>
  </conditionalFormatting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G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9" customWidth="1" min="2" max="2"/>
    <col width="8" customWidth="1" min="3" max="3"/>
    <col width="8" customWidth="1" min="4" max="4"/>
    <col width="8" customWidth="1" min="5" max="5"/>
    <col width="16" customWidth="1" min="6" max="6"/>
    <col width="30" customWidth="1" min="7" max="7"/>
  </cols>
  <sheetData>
    <row r="1">
      <c r="A1" s="1" t="inlineStr">
        <is>
          <t>예산 구성 (안별)</t>
        </is>
      </c>
    </row>
    <row r="2">
      <c r="A2" s="2" t="inlineStr">
        <is>
          <t>금액은 귀사 단가표 기준으로 입력 · O 표시된 항목만 안별 합계에 포함</t>
        </is>
      </c>
    </row>
    <row r="4">
      <c r="A4" s="6" t="inlineStr">
        <is>
          <t>항목</t>
        </is>
      </c>
      <c r="B4" s="6" t="inlineStr">
        <is>
          <t>구분</t>
        </is>
      </c>
      <c r="C4" s="6" t="inlineStr">
        <is>
          <t>기본</t>
        </is>
      </c>
      <c r="D4" s="6" t="inlineStr">
        <is>
          <t>표준</t>
        </is>
      </c>
      <c r="E4" s="6" t="inlineStr">
        <is>
          <t>확장</t>
        </is>
      </c>
      <c r="F4" s="6" t="inlineStr">
        <is>
          <t>금액(원, 입력)</t>
        </is>
      </c>
      <c r="G4" s="6" t="inlineStr">
        <is>
          <t>비고</t>
        </is>
      </c>
    </row>
    <row r="5">
      <c r="A5" s="8" t="inlineStr">
        <is>
          <t>착수 진단·벤치마크</t>
        </is>
      </c>
      <c r="B5" s="19" t="inlineStr">
        <is>
          <t>일회성</t>
        </is>
      </c>
      <c r="C5" s="19" t="inlineStr">
        <is>
          <t>O</t>
        </is>
      </c>
      <c r="D5" s="19" t="inlineStr">
        <is>
          <t>O</t>
        </is>
      </c>
      <c r="E5" s="19" t="inlineStr">
        <is>
          <t>O</t>
        </is>
      </c>
      <c r="F5" s="36" t="n"/>
      <c r="G5" s="8" t="n"/>
    </row>
    <row r="6">
      <c r="A6" s="8" t="inlineStr">
        <is>
          <t>채널 정비(플레이스·플랫폼)</t>
        </is>
      </c>
      <c r="B6" s="19" t="inlineStr">
        <is>
          <t>일회성</t>
        </is>
      </c>
      <c r="C6" s="19" t="inlineStr">
        <is>
          <t>O</t>
        </is>
      </c>
      <c r="D6" s="19" t="inlineStr">
        <is>
          <t>O</t>
        </is>
      </c>
      <c r="E6" s="19" t="inlineStr">
        <is>
          <t>O</t>
        </is>
      </c>
      <c r="F6" s="36" t="n"/>
      <c r="G6" s="8" t="n"/>
    </row>
    <row r="7">
      <c r="A7" s="8" t="inlineStr">
        <is>
          <t>홈페이지 개선</t>
        </is>
      </c>
      <c r="B7" s="19" t="inlineStr">
        <is>
          <t>일회성</t>
        </is>
      </c>
      <c r="C7" s="19" t="inlineStr"/>
      <c r="D7" s="19" t="inlineStr">
        <is>
          <t>O</t>
        </is>
      </c>
      <c r="E7" s="19" t="inlineStr">
        <is>
          <t>O</t>
        </is>
      </c>
      <c r="F7" s="36" t="n"/>
      <c r="G7" s="8" t="n"/>
    </row>
    <row r="8">
      <c r="A8" s="8" t="inlineStr">
        <is>
          <t>브랜드 콘셉트·비주얼 가이드</t>
        </is>
      </c>
      <c r="B8" s="19" t="inlineStr">
        <is>
          <t>일회성</t>
        </is>
      </c>
      <c r="C8" s="19" t="inlineStr"/>
      <c r="D8" s="19" t="inlineStr">
        <is>
          <t>O</t>
        </is>
      </c>
      <c r="E8" s="19" t="inlineStr">
        <is>
          <t>O</t>
        </is>
      </c>
      <c r="F8" s="36" t="n"/>
      <c r="G8" s="8" t="n"/>
    </row>
    <row r="9">
      <c r="A9" s="8" t="inlineStr">
        <is>
          <t>브랜드 화보 촬영</t>
        </is>
      </c>
      <c r="B9" s="19" t="inlineStr">
        <is>
          <t>일회성</t>
        </is>
      </c>
      <c r="C9" s="19" t="inlineStr"/>
      <c r="D9" s="19" t="inlineStr">
        <is>
          <t>O</t>
        </is>
      </c>
      <c r="E9" s="19" t="inlineStr">
        <is>
          <t>O</t>
        </is>
      </c>
      <c r="F9" s="36" t="n"/>
      <c r="G9" s="8" t="n"/>
    </row>
    <row r="10">
      <c r="A10" s="8" t="inlineStr">
        <is>
          <t>브랜드 필름 제작</t>
        </is>
      </c>
      <c r="B10" s="19" t="inlineStr">
        <is>
          <t>일회성</t>
        </is>
      </c>
      <c r="C10" s="19" t="inlineStr"/>
      <c r="D10" s="19" t="inlineStr"/>
      <c r="E10" s="19" t="inlineStr">
        <is>
          <t>O</t>
        </is>
      </c>
      <c r="F10" s="36" t="n"/>
      <c r="G10" s="8" t="n"/>
    </row>
    <row r="11">
      <c r="A11" s="8" t="inlineStr">
        <is>
          <t>인스타·블로그 운영(월)×12</t>
        </is>
      </c>
      <c r="B11" s="19" t="inlineStr">
        <is>
          <t>운영</t>
        </is>
      </c>
      <c r="C11" s="19" t="inlineStr">
        <is>
          <t>O</t>
        </is>
      </c>
      <c r="D11" s="19" t="inlineStr">
        <is>
          <t>O</t>
        </is>
      </c>
      <c r="E11" s="19" t="inlineStr">
        <is>
          <t>O</t>
        </is>
      </c>
      <c r="F11" s="36" t="n"/>
      <c r="G11" s="8" t="n"/>
    </row>
    <row r="12">
      <c r="A12" s="8" t="inlineStr">
        <is>
          <t>건축 비하인드 시리즈</t>
        </is>
      </c>
      <c r="B12" s="19" t="inlineStr">
        <is>
          <t>운영</t>
        </is>
      </c>
      <c r="C12" s="19" t="inlineStr"/>
      <c r="D12" s="19" t="inlineStr">
        <is>
          <t>O</t>
        </is>
      </c>
      <c r="E12" s="19" t="inlineStr">
        <is>
          <t>O</t>
        </is>
      </c>
      <c r="F12" s="36" t="n"/>
      <c r="G12" s="8" t="n"/>
    </row>
    <row r="13">
      <c r="A13" s="8" t="inlineStr">
        <is>
          <t>광고 운영 대행 수수료</t>
        </is>
      </c>
      <c r="B13" s="19" t="inlineStr">
        <is>
          <t>운영</t>
        </is>
      </c>
      <c r="C13" s="19" t="inlineStr"/>
      <c r="D13" s="19" t="inlineStr">
        <is>
          <t>O</t>
        </is>
      </c>
      <c r="E13" s="19" t="inlineStr">
        <is>
          <t>O</t>
        </is>
      </c>
      <c r="F13" s="36" t="n"/>
      <c r="G13" s="8" t="n"/>
    </row>
    <row r="14">
      <c r="A14" s="8" t="inlineStr">
        <is>
          <t>광고 집행비(매체비)</t>
        </is>
      </c>
      <c r="B14" s="19" t="inlineStr">
        <is>
          <t>매체</t>
        </is>
      </c>
      <c r="C14" s="19" t="inlineStr"/>
      <c r="D14" s="19" t="inlineStr">
        <is>
          <t>O</t>
        </is>
      </c>
      <c r="E14" s="19" t="inlineStr">
        <is>
          <t>O</t>
        </is>
      </c>
      <c r="F14" s="36" t="n"/>
      <c r="G14" s="8" t="n"/>
    </row>
    <row r="15">
      <c r="A15" s="8" t="inlineStr">
        <is>
          <t>크리에이터 협업</t>
        </is>
      </c>
      <c r="B15" s="19" t="inlineStr">
        <is>
          <t>운영</t>
        </is>
      </c>
      <c r="C15" s="19" t="inlineStr"/>
      <c r="D15" s="19" t="inlineStr">
        <is>
          <t>O</t>
        </is>
      </c>
      <c r="E15" s="19" t="inlineStr">
        <is>
          <t>O</t>
        </is>
      </c>
      <c r="F15" s="36" t="n"/>
      <c r="G15" s="8" t="n"/>
    </row>
    <row r="16">
      <c r="A16" s="8" t="inlineStr">
        <is>
          <t>시그니처 패키지·투어 매뉴얼 기획</t>
        </is>
      </c>
      <c r="B16" s="19" t="inlineStr">
        <is>
          <t>일회성</t>
        </is>
      </c>
      <c r="C16" s="19" t="inlineStr"/>
      <c r="D16" s="19" t="inlineStr">
        <is>
          <t>O</t>
        </is>
      </c>
      <c r="E16" s="19" t="inlineStr">
        <is>
          <t>O</t>
        </is>
      </c>
      <c r="F16" s="36" t="n"/>
      <c r="G16" s="8" t="n"/>
    </row>
    <row r="17">
      <c r="A17" s="8" t="inlineStr">
        <is>
          <t>쇼케이스 기획(분기)</t>
        </is>
      </c>
      <c r="B17" s="19" t="inlineStr">
        <is>
          <t>운영</t>
        </is>
      </c>
      <c r="C17" s="19" t="inlineStr"/>
      <c r="D17" s="19" t="inlineStr">
        <is>
          <t>O</t>
        </is>
      </c>
      <c r="E17" s="19" t="inlineStr">
        <is>
          <t>O</t>
        </is>
      </c>
      <c r="F17" s="36" t="n"/>
      <c r="G17" s="8" t="n"/>
    </row>
    <row r="18">
      <c r="A18" s="8" t="inlineStr">
        <is>
          <t>커플 다큐(분기)</t>
        </is>
      </c>
      <c r="B18" s="19" t="inlineStr">
        <is>
          <t>운영</t>
        </is>
      </c>
      <c r="C18" s="19" t="inlineStr"/>
      <c r="D18" s="19" t="inlineStr"/>
      <c r="E18" s="19" t="inlineStr">
        <is>
          <t>O</t>
        </is>
      </c>
      <c r="F18" s="36" t="n"/>
      <c r="G18" s="8" t="n"/>
    </row>
    <row r="19">
      <c r="A19" s="8" t="inlineStr">
        <is>
          <t>언론 PR</t>
        </is>
      </c>
      <c r="B19" s="19" t="inlineStr">
        <is>
          <t>운영</t>
        </is>
      </c>
      <c r="C19" s="19" t="inlineStr"/>
      <c r="D19" s="19" t="inlineStr"/>
      <c r="E19" s="19" t="inlineStr">
        <is>
          <t>O</t>
        </is>
      </c>
      <c r="F19" s="36" t="n"/>
      <c r="G19" s="8" t="n"/>
    </row>
    <row r="20">
      <c r="A20" s="8" t="inlineStr">
        <is>
          <t>브랜드 행사·대관 제휴</t>
        </is>
      </c>
      <c r="B20" s="19" t="inlineStr">
        <is>
          <t>운영</t>
        </is>
      </c>
      <c r="C20" s="19" t="inlineStr"/>
      <c r="D20" s="19" t="inlineStr"/>
      <c r="E20" s="19" t="inlineStr">
        <is>
          <t>O</t>
        </is>
      </c>
      <c r="F20" s="36" t="n"/>
      <c r="G20" s="8" t="n"/>
    </row>
    <row r="21">
      <c r="A21" s="8" t="inlineStr">
        <is>
          <t>월간·분기 리포트</t>
        </is>
      </c>
      <c r="B21" s="19" t="inlineStr">
        <is>
          <t>운영</t>
        </is>
      </c>
      <c r="C21" s="19" t="inlineStr">
        <is>
          <t>O</t>
        </is>
      </c>
      <c r="D21" s="19" t="inlineStr">
        <is>
          <t>O</t>
        </is>
      </c>
      <c r="E21" s="19" t="inlineStr">
        <is>
          <t>O</t>
        </is>
      </c>
      <c r="F21" s="36" t="n"/>
      <c r="G21" s="8" t="n"/>
    </row>
    <row r="22">
      <c r="A22" s="37" t="inlineStr">
        <is>
          <t>안별 합계</t>
        </is>
      </c>
      <c r="B22" s="37" t="n"/>
      <c r="C22" s="38">
        <f>SUMIF(C5:C21,"O",$F$5:$F$21)</f>
        <v/>
      </c>
      <c r="D22" s="38">
        <f>SUMIF(D5:D21,"O",$F$5:$F$21)</f>
        <v/>
      </c>
      <c r="E22" s="38">
        <f>SUMIF(E5:E21,"O",$F$5:$F$21)</f>
        <v/>
      </c>
      <c r="F22" s="39" t="n"/>
      <c r="G22" s="39" t="n"/>
    </row>
    <row r="23">
      <c r="A23" s="37" t="inlineStr">
        <is>
          <t>항목 수</t>
        </is>
      </c>
      <c r="B23" s="37" t="n"/>
      <c r="C23" s="39">
        <f>COUNTIF(C5:C21,"O")</f>
        <v/>
      </c>
      <c r="D23" s="39">
        <f>COUNTIF(D5:D21,"O")</f>
        <v/>
      </c>
      <c r="E23" s="39">
        <f>COUNTIF(E5:E21,"O")</f>
        <v/>
      </c>
      <c r="F23" s="39" t="n"/>
      <c r="G23" s="39" t="n"/>
    </row>
    <row r="25">
      <c r="A25" s="35" t="inlineStr">
        <is>
          <t>매체비는 대행 수수료와 분리해 표기하는 것을 권장합니다 (클라이언트가 실제 광고 집행액을 확인할 수 있도록).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B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가정·근거·주의사항</t>
        </is>
      </c>
    </row>
    <row r="2">
      <c r="A2" s="2" t="inlineStr">
        <is>
          <t>제안 전에 확인할 것</t>
        </is>
      </c>
    </row>
    <row r="4">
      <c r="A4" s="6" t="inlineStr">
        <is>
          <t>구분</t>
        </is>
      </c>
      <c r="B4" s="6" t="inlineStr">
        <is>
          <t>내용</t>
        </is>
      </c>
    </row>
    <row r="5">
      <c r="A5" s="8" t="inlineStr">
        <is>
          <t>근거[확인됨]</t>
        </is>
      </c>
      <c r="B5" s="8" t="inlineStr">
        <is>
          <t>라움 홀 구성(체임버홀 층고 9.5m, 마제스틱 볼룸 6.7m, 그라스 가든), 2010년 개관, 스키보 캐슬 모티브, 부르고뉴 석 — 출처: m.theraum.co.kr 공식 웨딩 페이지</t>
        </is>
      </c>
    </row>
    <row r="6">
      <c r="A6" s="8" t="inlineStr">
        <is>
          <t>근거[확인됨]</t>
        </is>
      </c>
      <c r="B6" s="8" t="inlineStr">
        <is>
          <t>온라인상 명칭 혼재(라움아트센터/소셜베뉴 라움/더라움) — 웹 검색 결과 기준. 의도적 리브랜딩 여부는 미확인</t>
        </is>
      </c>
    </row>
    <row r="7">
      <c r="A7" s="8" t="inlineStr">
        <is>
          <t>가정</t>
        </is>
      </c>
      <c r="B7" s="8" t="inlineStr">
        <is>
          <t>착수일 2027-01-01은 예시입니다. 개요 시트 B4를 바꾸면 간트 월 표시가 바뀝니다</t>
        </is>
      </c>
    </row>
    <row r="8">
      <c r="A8" s="8" t="inlineStr">
        <is>
          <t>가정</t>
        </is>
      </c>
      <c r="B8" s="8" t="inlineStr">
        <is>
          <t>콘텐츠 발행 수(인스타 주 3회 등)는 일반적인 운영 수준을 가정한 계획값이며, 예산·인력에 맞게 조정 필요</t>
        </is>
      </c>
    </row>
    <row r="9">
      <c r="A9" s="8" t="inlineStr">
        <is>
          <t>가정</t>
        </is>
      </c>
      <c r="B9" s="8" t="inlineStr">
        <is>
          <t>과제별 기간(M)은 대행사 1팀 기준 추정. 라움 내부 승인 속도에 따라 P1·P4가 늦어질 수 있음</t>
        </is>
      </c>
    </row>
    <row r="10">
      <c r="A10" s="8" t="inlineStr">
        <is>
          <t>미기재</t>
        </is>
      </c>
      <c r="B10" s="8" t="inlineStr">
        <is>
          <t>KPI 목표 수치와 예산 금액은 근거 데이터가 없어 비워두었습니다. 기준값 측정 후 합의해 입력하세요</t>
        </is>
      </c>
    </row>
    <row r="11">
      <c r="A11" s="8" t="inlineStr">
        <is>
          <t>리스크</t>
        </is>
      </c>
      <c r="B11" s="8" t="inlineStr">
        <is>
          <t>P4(투어·패키지·쇼케이스)는 라움 운영팀이 실행 주체입니다. 성과 책임 범위를 계약서에 분리하세요</t>
        </is>
      </c>
    </row>
    <row r="12">
      <c r="A12" s="8" t="inlineStr">
        <is>
          <t>리스크</t>
        </is>
      </c>
      <c r="B12" s="8" t="inlineStr">
        <is>
          <t>실사용 후기·크리에이터 협업은 광고 표기 의무(공정위 추천·보증 심사지침)를 지켜야 합니다</t>
        </is>
      </c>
    </row>
    <row r="13">
      <c r="A13" s="8" t="inlineStr">
        <is>
          <t>리스크</t>
        </is>
      </c>
      <c r="B13" s="8" t="inlineStr">
        <is>
          <t>커플 다큐·후기 콘텐츠는 초상권·개인정보 동의서가 필요합니다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2026-10-02T04:26:12Z</dcterms:created>
  <dcterms:modified xsi:type="dcterms:W3CDTF">2026-10-02T04:26:12Z</dcterms:modified>
</cp:coreProperties>
</file>